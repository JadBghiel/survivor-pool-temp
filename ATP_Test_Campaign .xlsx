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502"/>
  <workbookPr filterPrivacy="1"/>
  <xr:revisionPtr revIDLastSave="0" documentId="8_{D24E4CCD-ED7F-4B9D-8E25-CDDCD7C1C07F}" xr6:coauthVersionLast="47" xr6:coauthVersionMax="47" xr10:uidLastSave="{00000000-0000-0000-0000-000000000000}"/>
  <bookViews>
    <workbookView xWindow="0" yWindow="0" windowWidth="0" windowHeight="0" firstSheet="5" activeTab="5" xr2:uid="{00000000-000D-0000-FFFF-FFFF00000000}"/>
  </bookViews>
  <sheets>
    <sheet name="START HERE" sheetId="1" r:id="rId1"/>
    <sheet name="Dashboard" sheetId="7" r:id="rId2"/>
    <sheet name="Eclyps" sheetId="2" r:id="rId3"/>
    <sheet name="Pathly" sheetId="4" r:id="rId4"/>
    <sheet name="Dissonance" sheetId="3" r:id="rId5"/>
    <sheet name="Horus" sheetId="5" r:id="rId6"/>
    <sheet name="FAS" sheetId="6"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0" i="7" l="1"/>
  <c r="H20" i="7"/>
  <c r="G20" i="7"/>
  <c r="F20" i="7"/>
  <c r="E20" i="7"/>
  <c r="D20" i="7"/>
  <c r="C20" i="7"/>
  <c r="B20" i="7"/>
  <c r="H19" i="7"/>
  <c r="G19" i="7"/>
  <c r="F19" i="7"/>
  <c r="E19" i="7"/>
  <c r="D19" i="7"/>
  <c r="C19" i="7"/>
  <c r="B19" i="7"/>
  <c r="H18" i="7"/>
  <c r="G18" i="7"/>
  <c r="F18" i="7"/>
  <c r="E18" i="7"/>
  <c r="D18" i="7"/>
  <c r="C18" i="7"/>
  <c r="B18" i="7"/>
  <c r="H17" i="7"/>
  <c r="G17" i="7"/>
  <c r="F17" i="7"/>
  <c r="E17" i="7"/>
  <c r="D17" i="7"/>
  <c r="C17" i="7"/>
  <c r="B17" i="7"/>
  <c r="H16" i="7"/>
  <c r="G16" i="7"/>
  <c r="F16" i="7"/>
  <c r="E16" i="7"/>
  <c r="D16" i="7"/>
  <c r="C16" i="7"/>
  <c r="B16" i="7"/>
  <c r="B10" i="7"/>
  <c r="I9" i="7"/>
  <c r="H9" i="7"/>
  <c r="G9" i="7"/>
  <c r="F9" i="7"/>
  <c r="L9" i="7" s="1"/>
  <c r="E9" i="7"/>
  <c r="D9" i="7"/>
  <c r="C9" i="7"/>
  <c r="I8" i="7"/>
  <c r="H8" i="7"/>
  <c r="G8" i="7"/>
  <c r="F8" i="7"/>
  <c r="L8" i="7" s="1"/>
  <c r="E8" i="7"/>
  <c r="D8" i="7"/>
  <c r="C8" i="7"/>
  <c r="I7" i="7"/>
  <c r="H7" i="7"/>
  <c r="G7" i="7"/>
  <c r="F7" i="7"/>
  <c r="L7" i="7" s="1"/>
  <c r="E7" i="7"/>
  <c r="D7" i="7"/>
  <c r="C7" i="7"/>
  <c r="I6" i="7"/>
  <c r="H6" i="7"/>
  <c r="G6" i="7"/>
  <c r="F6" i="7"/>
  <c r="L6" i="7" s="1"/>
  <c r="E6" i="7"/>
  <c r="D6" i="7"/>
  <c r="C6" i="7"/>
  <c r="I5" i="7"/>
  <c r="I10" i="7" s="1"/>
  <c r="H5" i="7"/>
  <c r="H10" i="7" s="1"/>
  <c r="G5" i="7"/>
  <c r="G10" i="7" s="1"/>
  <c r="F5" i="7"/>
  <c r="E5" i="7"/>
  <c r="E10" i="7" s="1"/>
  <c r="D5" i="7"/>
  <c r="C5" i="7"/>
  <c r="C10" i="7" s="1"/>
  <c r="D10" i="7" l="1"/>
  <c r="K5" i="7"/>
  <c r="J5" i="7"/>
  <c r="F10" i="7"/>
  <c r="L5" i="7"/>
  <c r="L10" i="7" s="1"/>
  <c r="K6" i="7"/>
  <c r="J6" i="7"/>
  <c r="K7" i="7"/>
  <c r="J7" i="7"/>
  <c r="K8" i="7"/>
  <c r="J8" i="7"/>
  <c r="K9" i="7"/>
  <c r="J9" i="7"/>
  <c r="K10" i="7"/>
  <c r="J10" i="7"/>
  <c r="J16" i="7"/>
  <c r="I16" i="7"/>
  <c r="J17" i="7"/>
  <c r="I17" i="7"/>
  <c r="J18" i="7"/>
  <c r="I18" i="7"/>
  <c r="J19" i="7"/>
  <c r="I19" i="7"/>
  <c r="J20" i="7"/>
</calcChain>
</file>

<file path=xl/sharedStrings.xml><?xml version="1.0" encoding="utf-8"?>
<sst xmlns="http://schemas.openxmlformats.org/spreadsheetml/2006/main" count="2750" uniqueCount="1376">
  <si>
    <t>EIP ACCEPTANCE TEST CAMPAIGN — 5th-year projects tested by 3rd-year students</t>
  </si>
  <si>
    <t>1 — WHAT YOU HAVE TO DO</t>
  </si>
  <si>
    <t>Run every scenario in your project tab by hand, exactly as written, and record what actually happened in the RESULT, Severity, Feedback, Tester and Date columns. A scenario passes only if every expected result is obtained — if you did not see it work with your own eyes, it did not work.</t>
  </si>
  <si>
    <t>2 — THE RESULT VALUES</t>
  </si>
  <si>
    <t>Value</t>
  </si>
  <si>
    <t>Use it when</t>
  </si>
  <si>
    <t>OK</t>
  </si>
  <si>
    <t>Every expected result was obtained, in order, without error. Cosmetic differences do not fail a scenario — note them in Feedback and still mark OK.</t>
  </si>
  <si>
    <t>Partial</t>
  </si>
  <si>
    <t>The feature runs but at least one expected result was not obtained. Say exactly which one in Feedback.</t>
  </si>
  <si>
    <t>KO</t>
  </si>
  <si>
    <t>The feature is there but wrong: crash, wrong output, data loss, corrupted result, expected behaviour missing.</t>
  </si>
  <si>
    <t>Blocked</t>
  </si>
  <si>
    <t>You could not run the scenario at all — a prerequisite could not be met, an earlier scenario failed, the app will not start, the feature is unreachable.</t>
  </si>
  <si>
    <t>N/A</t>
  </si>
  <si>
    <t>The scenario genuinely does not apply to you: no NVIDIA GPU, no controller, the team declared it not testable this cycle. Always say why in Feedback.</t>
  </si>
  <si>
    <t>Not tested</t>
  </si>
  <si>
    <t>The starting value. Nothing has been done yet. Leave none of these behind at the end of your run.</t>
  </si>
  <si>
    <t>3 — THE FIVE PROJECTS</t>
  </si>
  <si>
    <t>Project</t>
  </si>
  <si>
    <t>What it is</t>
  </si>
  <si>
    <t>Where to get it</t>
  </si>
  <si>
    <t>Scenarios</t>
  </si>
  <si>
    <t>Tab</t>
  </si>
  <si>
    <t>Eclyps</t>
  </si>
  <si>
    <t>Eclyps is a 3D non-Euclidean puzzle game taking place in a cel-shading styled world with a unique storyline. The purpose of our game is to make people experience mental madness perception while solving enigmas containing unusual perspectives and illusions. Inspired by games like Exit 8 or Superliminal, It challenges and forces players to think outside the box while exposing them more and more through each level to the symptoms of madness.</t>
  </si>
  <si>
    <t>https://eclypswebsite.netlify.app</t>
  </si>
  <si>
    <t>45 total
15 critical</t>
  </si>
  <si>
    <t>Dissonance</t>
  </si>
  <si>
    <t>Desktop app that applies imperceptible adversarial perturbations to audio so it can’t be exploited for AI training. Versions under test: UI v0.1.1 with bundled core v0.0.5 (branch dev).</t>
  </si>
  <si>
    <t>https://github.com/Dissonance-Eip/ui/releases/latest</t>
  </si>
  <si>
    <t>56 total
27 critical</t>
  </si>
  <si>
    <t>Pathly</t>
  </si>
  <si>
    <t>Pathly is a social network designed for travelers who love to plan, share, and explore
It’s the perfect platform to create, collaborate, and customize trip itineraries with friends, family, or fellow adventurers.
Discover trending destinations, get personalized recommendations, and share your travel experiences with a vibrant community of globetrotters.</t>
  </si>
  <si>
    <t>https://pathly-web-brown.vercel.app/</t>
  </si>
  <si>
    <t>36 total
26 critical</t>
  </si>
  <si>
    <t>Horus</t>
  </si>
  <si>
    <t>Version under test: Horus Beta 0.1.0. The archive carries the installer, the source the stack builds from, the desktop apps and the test corpus. No repository access is needed.</t>
  </si>
  <si>
    <t>https://epitechfr-my.sharepoint.com/:u:/g/personal/loup_marquez_epitech_eu/IQDSYS6FbbXXR50eb-HXaqiWAZdwJ_LRXc47EHymear3qyQ?e=8wllsu</t>
  </si>
  <si>
    <t>37 total
25 critical</t>
  </si>
  <si>
    <t>FAS</t>
  </si>
  <si>
    <t>FAS is a LegalTech solution that streamlines contract management, allowing users to create, fill, sign, and manage contracts anytime, anywhere.
It uniquely supports and authenticates verbal agreements, a feature not found in other software. FAS also facilitates written agreements, leveraging AI for audio-based contract filling, summaries and more.</t>
  </si>
  <si>
    <t>https://fas-ai.net</t>
  </si>
  <si>
    <t>44 total
19 critical</t>
  </si>
  <si>
    <t>TOTAL</t>
  </si>
  <si>
    <t/>
  </si>
  <si>
    <t>218 scenarios</t>
  </si>
  <si>
    <t>ECLYPS  —  setup &amp; access  (tab "Eclyps" · 45 scenarios)</t>
  </si>
  <si>
    <t>Access points</t>
  </si>
  <si>
    <t>Access point</t>
  </si>
  <si>
    <t>URL / command</t>
  </si>
  <si>
    <t>Notes</t>
  </si>
  <si>
    <t>Game download</t>
  </si>
  <si>
    <t>Accounts</t>
  </si>
  <si>
    <t>Account type</t>
  </si>
  <si>
    <t>Identifier</t>
  </si>
  <si>
    <t>Password</t>
  </si>
  <si>
    <t>UE5 (Epic Games User)</t>
  </si>
  <si>
    <t>user@epicgames.com</t>
  </si>
  <si>
    <t>Epicpwd</t>
  </si>
  <si>
    <t>Steam User</t>
  </si>
  <si>
    <t>user@steam.com</t>
  </si>
  <si>
    <t>Steampwd</t>
  </si>
  <si>
    <t>DISSONANCE  —  setup &amp; access  (tab "Dissonance" · 56 scenarios)</t>
  </si>
  <si>
    <t>Test environment</t>
  </si>
  <si>
    <t>macOS on Apple Silicon (the release ships arm64 only), Windows 10/11 x64, or x64 Linux with AppImage support. Audio output: headphones strongly recommended — several scenarios are listening tests.</t>
  </si>
  <si>
    <t>App download (all platforms)</t>
  </si>
  <si>
    <t>macOS .dmg (Apple Silicon only) · Windows .exe · Linux .AppImage (chmod +x first). This installer is the whole deliverable — nothing else needs building.</t>
  </si>
  <si>
    <t>Source repository (reference)</t>
  </si>
  <si>
    <t>https://github.com/Dissonance-Eip/ui</t>
  </si>
  <si>
    <t>For reference only — testers work from the installer above. Branch under test: dev.</t>
  </si>
  <si>
    <t>None required</t>
  </si>
  <si>
    <t>—</t>
  </si>
  <si>
    <t>Dissonance is a fully offline desktop app: no sign-up, no login, no server.</t>
  </si>
  <si>
    <t>Test data</t>
  </si>
  <si>
    <t>All test audio files come from the team’s Appendix ZIP.</t>
  </si>
  <si>
    <t>File / item</t>
  </si>
  <si>
    <t>Description</t>
  </si>
  <si>
    <t>atp_stereo_44k.wav</t>
  </si>
  <si>
    <t>30 s, 44.1 kHz, 16-bit stereo, all seven tags filled. Main file for the UI scenarios.</t>
  </si>
  <si>
    <t>atp_mono_48k.wav</t>
  </si>
  <si>
    <t>30 s, 48 kHz, 16-bit mono, no tags. Mono + alternate sample rate + empty tag form.</t>
  </si>
  <si>
    <t>atp_fulltrack.wav</t>
  </si>
  <si>
    <t>3:06, 44.1 kHz stereo. Processing time and A/B listening (F32, F35).</t>
  </si>
  <si>
    <t>atp_track_c.wav</t>
  </si>
  <si>
    <t>90 s, quiet and sparse (peak −0.6 dBFS). Least masking headroom — the artefact-finder (F35).</t>
  </si>
  <si>
    <t>atp_track_d.wav</t>
  </si>
  <si>
    <t>90 s, loud dense master (peak 0.0 dBFS). The opposite extreme (F35).</t>
  </si>
  <si>
    <t>atp_24bit.wav</t>
  </si>
  <si>
    <t>30 s, 44.1 kHz, 24-bit stereo, plain PCM header (audioFormat 1). F48.</t>
  </si>
  <si>
    <t>atp_24bit_ext.wav</t>
  </si>
  <si>
    <t>Same audio, written as WAVE_FORMAT_EXTENSIBLE (audioFormat 65534) — the header a 24-bit DAW export uses. F48.</t>
  </si>
  <si>
    <t>atp_corrupt.wav</t>
  </si>
  <si>
    <t>Truncated file with a .wav extension. Error handling (F10, F30).</t>
  </si>
  <si>
    <t>atp_sample.mp3</t>
  </si>
  <si>
    <t>30 s MP3. F9 — a format the core does not parse yet.</t>
  </si>
  <si>
    <t>Before you start — read these</t>
  </si>
  <si>
    <t>• F1–F48 cover the desktop app under test. F49–F56 describe the in-app protection verification planned for a later build and are not testable this cycle — they are pre-set to N/A.</t>
  </si>
  <si>
    <t>PATHLY  —  setup &amp; access  (tab "Pathly" · 36 scenarios)</t>
  </si>
  <si>
    <t>Access link</t>
  </si>
  <si>
    <t>Test files to download</t>
  </si>
  <si>
    <t>https://drive.google.com/drive/folders/1zkOvY62Y2zB1DO4MH0k0u6xxBycU-A6P?usp=sharing</t>
  </si>
  <si>
    <t>Temporary email service (optional)</t>
  </si>
  <si>
    <t>https://yopmail.com/en/</t>
  </si>
  <si>
    <t>User A</t>
  </si>
  <si>
    <t>Create with a unique email address during F1</t>
  </si>
  <si>
    <t>Chosen by tester</t>
  </si>
  <si>
    <t>User B</t>
  </si>
  <si>
    <t>Create with a second unique email address during F1</t>
  </si>
  <si>
    <t>• Browser sessions — keep User A and User B open in separate sessions: one regular + one private/incognito window, or two different browsers.</t>
  </si>
  <si>
    <t>• Tester ID — choose one unique identifier for your test run (for example AB4821). Append it to every trip, activity, expense, message/comment and other content created during the ATP.</t>
  </si>
  <si>
    <t>• Account usage — use the same User A / User B pair for the whole ATP execution. Do not reuse another tester’s accounts or test content.</t>
  </si>
  <si>
    <t>HORUS  —  setup &amp; access  (tab "Horus" · 37 scenarios)</t>
  </si>
  <si>
    <t>Windows, macOS or Linux (x86-64), with Docker Desktop or Docker Engine + Compose v2. The entire stack runs in Compose; nothing is installed on the host. Free disk: 150 GB (CPU profile) or 125 GB (GPU profile). About 16 GB host RAM. 4 CPU cores minimum, 12 or more recommended. Broadband: 25.0–26.5 GB of compressed download. Free TCP ports 3000, 8000, 8001, 8080, 15672, 5433, 5540. Allow 1.5 to 2 hours for the first run; later starts about 90 s.</t>
  </si>
  <si>
    <t>Beta archive (Horus-Beta-0.1.0.zip)</t>
  </si>
  <si>
    <t>Extract the archive, then run START-HERE-Windows.bat / START-HERE-macOS.command / START-HERE-Linux.sh. Detects hardware, writes .env, builds, starts and smoke-tests. See F1.</t>
  </si>
  <si>
    <t>Desktop application</t>
  </si>
  <si>
    <t>app/Horus.exe · app/Horus.app · app/Horus_0.1.0_amd64.deb</t>
  </si>
  <si>
    <t>Native window over the same web client. Unsigned, so expect an OS warning. See F2.</t>
  </si>
  <si>
    <t>Web client (main entry point)</t>
  </si>
  <si>
    <t>http://localhost:3000</t>
  </si>
  <si>
    <t>All UI scenarios start here. /auth/register · /auth/login · /dashboard · /chat · /conversations · /knowledge-store · /tasks · /tasks/new · /admin/users · /admin/roles · /admin/agents · /admin/logs · /admin/metrics · /admin/traces (admin role only)</t>
  </si>
  <si>
    <t>MAS API (orchestrator)</t>
  </si>
  <si>
    <t>http://localhost:8000</t>
  </si>
  <si>
    <t>REST + WebSocket. Swagger console at /docs — optional API checks only.</t>
  </si>
  <si>
    <t>Agent service</t>
  </si>
  <si>
    <t>http://localhost:8001</t>
  </si>
  <si>
    <t>RAG pipeline worker.</t>
  </si>
  <si>
    <t>Knowledge Store API</t>
  </si>
  <si>
    <t>http://localhost:8080</t>
  </si>
  <si>
    <t>REST API behind the Knowledge Store UI. Swagger at /docs — optional checks in F13 and F14.</t>
  </si>
  <si>
    <t>RabbitMQ management UI</t>
  </si>
  <si>
    <t>http://localhost:15672</t>
  </si>
  <si>
    <t>Inspect the task queue (F26).</t>
  </si>
  <si>
    <t>PgAdmin</t>
  </si>
  <si>
    <t>http://localhost:5433</t>
  </si>
  <si>
    <t>Inspect PostgreSQL state.</t>
  </si>
  <si>
    <t>RedisInsight</t>
  </si>
  <si>
    <t>http://localhost:5540</t>
  </si>
  <si>
    <t>Inspect cache state.</t>
  </si>
  <si>
    <t>Test corpus (5 documents)</t>
  </si>
  <si>
    <t>horus/demo_assets/ inside the extracted archive</t>
  </si>
  <si>
    <t>Used by every Knowledge Store scenario.</t>
  </si>
  <si>
    <t>Seeded admin (use FIRST)</t>
  </si>
  <si>
    <t>admin</t>
  </si>
  <si>
    <t>Admin</t>
  </si>
  <si>
    <t>horus.admin</t>
  </si>
  <si>
    <t>HorusATP2026!</t>
  </si>
  <si>
    <t>Manager</t>
  </si>
  <si>
    <t>horus.manager</t>
  </si>
  <si>
    <t>User</t>
  </si>
  <si>
    <t>horus.user</t>
  </si>
  <si>
    <t>User #2 (isolation tests)</t>
  </si>
  <si>
    <t>horus.user2</t>
  </si>
  <si>
    <t>guest</t>
  </si>
  <si>
    <t>admin@admin.com</t>
  </si>
  <si>
    <t>Test corpus at horus/demo_assets/, uploaded in scenario F12.</t>
  </si>
  <si>
    <t>1_Q4_2025_Financial_Report.md</t>
  </si>
  <si>
    <t>Finance — amounts ($4.2M, EUR 500K), dates (Q4 2025), people.</t>
  </si>
  <si>
    <t>2_Employee_Handbook.md</t>
  </si>
  <si>
    <t>HR — people names, policy dates.</t>
  </si>
  <si>
    <t>3_Compliance_Guidelines.md</t>
  </si>
  <si>
    <t>Compliance — regulation references, dates.</t>
  </si>
  <si>
    <t>4_Expense_Policy.md</t>
  </si>
  <si>
    <t>Finance / Policy — amounts, thresholds, dates.</t>
  </si>
  <si>
    <t>5_IT_Security_Policy.md</t>
  </si>
  <si>
    <t>IT / Security — systems, roles, dates.</t>
  </si>
  <si>
    <t>• Account bootstrap (covered by F3, F4 and F5) — 1. Log in at http://localhost:3000/auth/login as admin / admin (MAS seeds this account at startup). 2. As that seeded admin, go to Admin &gt; Users &gt; Create New User and create horus.admin (admin), horus.manager (manager), horus.user (user) and horus.user2 (user). 3. Switch to horus.admin for every scenario from here on. Self-registration does NOT create an admin — a new account always gets the user role. Password policy: at least 10 characters with an uppercase, a lowercase, a digit and a special character.</t>
  </si>
  <si>
    <t>• Testing without an NVIDIA GPU — the installer selects a CPU profile automatically and 65 of the 68 scenarios remain validatable. F18, F19 and F20 are GPU-only and are pre-set to N/A, not failed. On CPU the chat does answer in 1 min 18 s to 1 min 41 s, but digits come out as homoglyphs and the router emits invalid JSON, so the answer fails validation. Same machine on GPU: 2 s and correct.</t>
  </si>
  <si>
    <t>• Reference queries — F18: "What was our Q4 2025 revenue?" (answer cites 1_Q4_2025_Financial_Report.md). F19: "Compare our Q4 spend against what the expense policy allows and flag anything out of policy." (cites BOTH 1_Q4_2025_Financial_Report.md and 4_Expense_Policy.md). F20: "What is the capital of Peru?" (the agent states it has no grounding document rather than answering). F13: smart-search with category = "Finance" (only finance documents returned).</t>
  </si>
  <si>
    <t>• Repeat questions are served from an exact-match Redis cache — asking the same question again returns the identical stored answer, including a wrong one. Re-testing F18–F20 needs a different wording or a cache flush.</t>
  </si>
  <si>
    <t>• Attach install-log.txt and horus-profile.json (both in the extracted folder) with any anomaly. Neither contains a password.</t>
  </si>
  <si>
    <t>• Stop or uninstall via START-HERE (your platform) --stop or --uninstall. --stop keeps data; --uninstall deletes ingested documents and asks first.</t>
  </si>
  <si>
    <t>FAS  —  setup &amp; access  (tab "FAS" · 44 scenarios)</t>
  </si>
  <si>
    <t>Web application (production — Epitech VM)</t>
  </si>
  <si>
    <t>Web application (local development)</t>
  </si>
  <si>
    <t>Backend API</t>
  </si>
  <si>
    <t>User (full access)</t>
  </si>
  <si>
    <t>user@fas-ai.test</t>
  </si>
  <si>
    <t>P@ssw0rd!</t>
  </si>
  <si>
    <t>User #2 (multi-user tests)</t>
  </si>
  <si>
    <t>second@fas-ai.test</t>
  </si>
  <si>
    <t>Guest (invite only)</t>
  </si>
  <si>
    <t>guest@fas-ai.test</t>
  </si>
  <si>
    <t>Third-party signer</t>
  </si>
  <si>
    <t>signer@fas-ai.test</t>
  </si>
  <si>
    <t>Sample contract — HTML</t>
  </si>
  <si>
    <t>Upload any HTML contract file (or generate one via the builder).</t>
  </si>
  <si>
    <t>Sample contract — PDF / DOC / DOCX / TXT</t>
  </si>
  <si>
    <t>Use a local file in one of these formats to test upload (F19).</t>
  </si>
  <si>
    <t>Demo video call room</t>
  </si>
  <si>
    <t>Create a call (F8) and share the invitation link with testers.</t>
  </si>
  <si>
    <t>End of instructions. Go to your project tab and start at F1.</t>
  </si>
  <si>
    <t>CAMPAIGN DASHBOARD  —  live, updates itself as the project tabs are filled in</t>
  </si>
  <si>
    <t>Critical</t>
  </si>
  <si>
    <t>% tested</t>
  </si>
  <si>
    <t>% OK
(of tested)</t>
  </si>
  <si>
    <t>Open defects</t>
  </si>
  <si>
    <t>Open defects = Partial + KO + Blocked.  "% OK (of tested)" excludes rows marked N/A.  All figures recalculate automatically — nothing here is typed by hand.</t>
  </si>
  <si>
    <t>CRITICAL FEATURES ONLY  —  the scenarios that decide whether the product works at all</t>
  </si>
  <si>
    <t>% critical tested</t>
  </si>
  <si>
    <t>% critical OK</t>
  </si>
  <si>
    <t>Feature ID</t>
  </si>
  <si>
    <t>Feature Name</t>
  </si>
  <si>
    <t>Category</t>
  </si>
  <si>
    <t>Dev status
(team)</t>
  </si>
  <si>
    <t>Objective</t>
  </si>
  <si>
    <t>Prerequisites</t>
  </si>
  <si>
    <t>Steps</t>
  </si>
  <si>
    <t>Expected results</t>
  </si>
  <si>
    <t>RESULT</t>
  </si>
  <si>
    <t>Severity</t>
  </si>
  <si>
    <t>Feedback / anomaly (what you actually saw)</t>
  </si>
  <si>
    <t>F1</t>
  </si>
  <si>
    <t>Install Game on PC</t>
  </si>
  <si>
    <t>Compatibility</t>
  </si>
  <si>
    <t>Done</t>
  </si>
  <si>
    <t>Verify that the game installs correctly on a Windows PC from the provided build.</t>
  </si>
  <si>
    <t>Game installer/build package available; sufficient disk space; Windows 10/11 PC</t>
  </si>
  <si>
    <t>1. Download or copy the installer/build package to the target PC
2. Run the installer (or extract the build)
3. Follow the on-screen installation steps
4. Launch the game shortcut/executable once installation completes</t>
  </si>
  <si>
    <t>Installation completes without errors, and the game shortcut/executable is created and can be launched.</t>
  </si>
  <si>
    <t>F2</t>
  </si>
  <si>
    <t>Launch the Game</t>
  </si>
  <si>
    <t>Critical feature</t>
  </si>
  <si>
    <t>Verify that the player can launch the game and reach the main menu.</t>
  </si>
  <si>
    <t>Game installed</t>
  </si>
  <si>
    <t>1. Double-click the game executable/shortcut
2. Wait for the game to load
3. Observe the main menu</t>
  </si>
  <si>
    <t>The game launches without crashing and the main menu is displayed within a reasonable loading time.</t>
  </si>
  <si>
    <t>F3</t>
  </si>
  <si>
    <t>Edit Graphics Settings</t>
  </si>
  <si>
    <t>User interface</t>
  </si>
  <si>
    <t>Verify that the player can change graphics quality settings.</t>
  </si>
  <si>
    <t>Game launched, Settings menu accessible</t>
  </si>
  <si>
    <t>1. Open the Settings menu (M)
2. Go to the Graphics tab
3. Change the graphics quality preset (e.g. Low/Medium/High)
4. Apply/save changes
5. Return to gameplay</t>
  </si>
  <si>
    <t>The selected graphics quality is applied immediately or after confirmation, and the setting persists after restarting the game.</t>
  </si>
  <si>
    <t>could have a save button frowhe editing the controls</t>
  </si>
  <si>
    <t>F4</t>
  </si>
  <si>
    <t>Edit Resolution Settings</t>
  </si>
  <si>
    <t>Verify that the player can change the screen resolution.</t>
  </si>
  <si>
    <t>1. Open the Settings menu (M)
2. Go to the Display/Graphics tab
3. Select a different resolution from the list
4. Apply the change
5. Confirm the new resolution if a confirmation prompt appears</t>
  </si>
  <si>
    <t>The game switches to the selected resolution correctly, without distortion, and the change persists after restart.</t>
  </si>
  <si>
    <t>F5</t>
  </si>
  <si>
    <t>Edit Keybinds</t>
  </si>
  <si>
    <t>Verify that the player can remap keyboard/mouse keybinds.</t>
  </si>
  <si>
    <t>1. Open the Settings menu (M)
2. Go to the Controls/Keybinds tab
3. Select an action to rebind (e.g. "Change Gravity")
4. Press a new key
5. Save changes and return to gameplay
6. Test the action in-game with the new key</t>
  </si>
  <si>
    <t>The action is rebound to the new key, the old key no longer triggers it, and the new binding persists after restart.</t>
  </si>
  <si>
    <t>F6</t>
  </si>
  <si>
    <t>Edit Volume Settings</t>
  </si>
  <si>
    <t>Verify that the player can adjust audio volume levels.</t>
  </si>
  <si>
    <t>1. Open the Settings menu (M)
2. Go to the Audio tab
3. Adjust the master/music/SFX volume sliders
4. Apply changes
5. Return to gameplay and listen for the change</t>
  </si>
  <si>
    <t>In-game audio volume reflects the new slider values immediately, and the settings persist after restart.</t>
  </si>
  <si>
    <t>F7</t>
  </si>
  <si>
    <t>Edit Mouse/Camera Sensitivity</t>
  </si>
  <si>
    <t>Verify that the player can adjust camera/mouse sensitivity.</t>
  </si>
  <si>
    <t>1. Open the Settings menu (M)
2. Go to the Controls tab
3. Adjust the mouse/camera sensitivity slider
4. Apply changes
5. Return to gameplay and move the mouse to test camera speed</t>
  </si>
  <si>
    <t>Camera movement speed reflects the new sensitivity value, and the setting persists after restart.</t>
  </si>
  <si>
    <t>F8</t>
  </si>
  <si>
    <t>Play with a Controller</t>
  </si>
  <si>
    <t>Verify that the player can play the game using a controller.</t>
  </si>
  <si>
    <t>Compatible controller connected (wired or wireless) before or during launch</t>
  </si>
  <si>
    <t>1. Connect a controller to the PC
2. Launch or resume the game
3. Move the character and camera using the controller sticks
4. Trigger core actions (interact, gravity change, menu navigation) using controller buttons</t>
  </si>
  <si>
    <t>The game detects the controller automatically, on-screen prompts switch to controller icons, and all core actions respond correctly to controller input.</t>
  </si>
  <si>
    <t>i dont have a controller</t>
  </si>
  <si>
    <t>F9</t>
  </si>
  <si>
    <t>Play with Keyboard &amp; Mouse</t>
  </si>
  <si>
    <t>Verify that the player can play the game using keyboard and mouse.</t>
  </si>
  <si>
    <t>Keyboard and mouse connected</t>
  </si>
  <si>
    <t>1. Launch or resume the game with keyboard and mouse connected
2. Move the character using the keyboard
3. Look around using the mouse
4. Trigger core actions (interact (E), gravity change (G)) using keyboard/mouse inputs</t>
  </si>
  <si>
    <t>Character movement, camera look, and all core actions respond correctly to keyboard and mouse input, with on-screen prompts showing keyboard/mouse icons.</t>
  </si>
  <si>
    <t>F10</t>
  </si>
  <si>
    <t>Change Gravity Manually</t>
  </si>
  <si>
    <t>Verify that the player can change gravity direction using a dedicated key.</t>
  </si>
  <si>
    <t>Player in an open area with enough space to fall/land after a gravity change</t>
  </si>
  <si>
    <t>1. Stand in an open area
2. Press the "Change Gravity" key (G)
3. Observe the character reorient and fall toward the new "down" direction
4. Repeat in a different direction</t>
  </si>
  <si>
    <t>Gravity direction changes instantly and consistently in the chosen direction, the character re-orients and falls correctly, with no clipping or getting stuck.</t>
  </si>
  <si>
    <t>F11</t>
  </si>
  <si>
    <t>Trigger Gravity Change Through a Zone</t>
  </si>
  <si>
    <t>Verify that gravity changes automatically when the player enters a designated trigger zone.</t>
  </si>
  <si>
    <t>Level section containing a gravity-trigger zone</t>
  </si>
  <si>
    <t>1. Walk toward the trigger zone
2. Fully enter the zone
3. Observe gravity direction change automatically
4. Walk out of the zone and confirm gravity behavior afterward</t>
  </si>
  <si>
    <t>Gravity reorients automatically and smoothly as soon as the player enters the trigger zone, matching the zone's designated direction.</t>
  </si>
  <si>
    <t>F12</t>
  </si>
  <si>
    <t>Run through Infinite Structure</t>
  </si>
  <si>
    <t>Verify that the player can ascend or descend a staircase that loops infinitely.</t>
  </si>
  <si>
    <t>Level section containing the infinite stairs puzzle</t>
  </si>
  <si>
    <t>1. Approach the character to interact with him (teleported to the stairs)
2. Walk up the stairs continuously for multiple flights
3. Walk down the stairs continuously for multiple flights
4. Observe the loop behavior and any visual cues</t>
  </si>
  <si>
    <t>The staircase loops seamlessly with no visible seams, loading hitches, or breaks in geometry while walking up or down.</t>
  </si>
  <si>
    <t>F13</t>
  </si>
  <si>
    <t>Enter a Face of the Cube</t>
  </si>
  <si>
    <t>Verify that the player can walk into a face of the non-euclidean cube and enter its interior space.</t>
  </si>
  <si>
    <t>Player standing next to the non-euclidean cube</t>
  </si>
  <si>
    <t>1. Open the Level Menu with L keybind
2. Select the Cube Menu
3. Approach one face of the cube
4. Walk into the face
5. Observe the transition into the interior space</t>
  </si>
  <si>
    <t>The player enters the cube's interior smoothly, with a seamless transition and no camera clipping.</t>
  </si>
  <si>
    <t>F14</t>
  </si>
  <si>
    <t>Resize Object via Forced Perspective</t>
  </si>
  <si>
    <t>Verify that the player can change an object's apparent (and functional) size based on camera perspective.</t>
  </si>
  <si>
    <t>Level section containing a forced-perspective object</t>
  </si>
  <si>
    <t>1. Target a holdable item with the crossair
2. Hold the left mouse button to pick it up
3. Look around to resize it (up for it to get bigger, down for smaller)
4. Pick up or release the object at the desired size</t>
  </si>
  <si>
    <t>The object's effective size updates according to the player's perspective, and the resized state is applied correctly when the illusion is "locked in".</t>
  </si>
  <si>
    <t>F15</t>
  </si>
  <si>
    <t>Traverse a Seamless Portal</t>
  </si>
  <si>
    <t>Verify that the player can walk through a portal and be seamlessly transported to the linked location.</t>
  </si>
  <si>
    <t>Level section containing a pair of linked portals</t>
  </si>
  <si>
    <t>1. Approach the portal
2. See the other side (where you'll be teleported) through it
3. Walk through it
4. Observe the transition to the linked location
5. Confirm player position, velocity, and camera orientation after the transition</t>
  </si>
  <si>
    <t>The player is transported instantly and seamlessly, momentum and orientation are preserved correctly, with no loading pause or visual pop.</t>
  </si>
  <si>
    <t>F16</t>
  </si>
  <si>
    <t>Save Game</t>
  </si>
  <si>
    <t>Verify that the player can save game progress.</t>
  </si>
  <si>
    <t>Player has made progress in a level; save menu accessible</t>
  </si>
  <si>
    <t>1. Open the pause/save menu (Through Main Menu accessed by M keybind)
2. Select "Save Game"
3. Choose a save slot (new or existing)
4. Confirm the save</t>
  </si>
  <si>
    <t>A confirmation message is shown, and a save file is created/updated with the player's current progress.</t>
  </si>
  <si>
    <t>F17</t>
  </si>
  <si>
    <t>Load Game</t>
  </si>
  <si>
    <t>Verify that the player can load a previously saved game.</t>
  </si>
  <si>
    <t>At least one save file exists</t>
  </si>
  <si>
    <t>1. From the main menu or pause menu (M keybind), select "Load Game"
2. Choose a save slot
3. Confirm loading</t>
  </si>
  <si>
    <t>The game restores the player's exact saved state (position, inventory, level progress) without errors.</t>
  </si>
  <si>
    <t>F18</t>
  </si>
  <si>
    <t>Interact with an Element</t>
  </si>
  <si>
    <t>Verify that the player can interact with interactive objects in the environment.</t>
  </si>
  <si>
    <t>Level section containing multiple interactive objects (doors, switches, items)</t>
  </si>
  <si>
    <t>1. Approach an interactive object
2. Hover the item to display interaction popup
3. Press the interact key/button indicated
4. Observe the resulting action</t>
  </si>
  <si>
    <t>Each interactive object responds correctly to the interact input (opens, activates, picked up, etc.) with no missed inputs. The instruction pop up should be displayed at step 2.</t>
  </si>
  <si>
    <t>i can no clip on some parts of the house in lvl1 (the kitchen)</t>
  </si>
  <si>
    <t>F19</t>
  </si>
  <si>
    <t>Reconstruct Projection into 3D Object</t>
  </si>
  <si>
    <t>Verify that the player can turn a 2D wall projection into a real 3D object.</t>
  </si>
  <si>
    <t>A valid 2D projection is currently visible on a wall</t>
  </si>
  <si>
    <t>1. Approach the 2D projection on the wall
2. Put yourself in the alignment of the projection to recompose the object
3. Observe the projection becoming a physical 3D object
4. Interact with the reconstructed item</t>
  </si>
  <si>
    <t>The 2D projection correctly converts into a solid, physically-present 3D object matching its projected shape.</t>
  </si>
  <si>
    <t>F20</t>
  </si>
  <si>
    <t>Control the Day/Night Cycle</t>
  </si>
  <si>
    <t>Secondary function</t>
  </si>
  <si>
    <t>In progress</t>
  </si>
  <si>
    <t>Verify that the player can control the progression of the day/night cycle.</t>
  </si>
  <si>
    <t>Level section supporting the day/night cycle mechanic</t>
  </si>
  <si>
    <t>1. Accelerate the day/night control (N)
2. Observe the lighting transition from day to night (or vice versa)
3. Confirm gameplay elements tied to the cycle react accordingly (not applicable yet)</t>
  </si>
  <si>
    <t>The lighting and sky transition smoothly between day and night when triggered, and the change is visually consistent across the scene.</t>
  </si>
  <si>
    <t>button doesnt work and cannot change it in the controls</t>
  </si>
  <si>
    <t>F21</t>
  </si>
  <si>
    <t>Open &amp; Close the Inventory</t>
  </si>
  <si>
    <t>Verify that the player can open and close the inventory screen.</t>
  </si>
  <si>
    <t>Player has at least one item, or an empty inventory is accessible</t>
  </si>
  <si>
    <t>1. Press the inventory key/button (I)
2. Observe the inventory screen opening
3. Press the key/button again to close it</t>
  </si>
  <si>
    <t>The inventory opens and closes smoothly without unexpectedly breaking other systems, and displays the correct current items.</t>
  </si>
  <si>
    <t>F22</t>
  </si>
  <si>
    <t>Equip, Use and Combine Items</t>
  </si>
  <si>
    <t>Verify that items picked up in the world are correctly added to the inventory.</t>
  </si>
  <si>
    <t>A pickupable item present in the level</t>
  </si>
  <si>
    <t>1. Approach the plane piece in the barn
2. Press the interact/pick-up key (P)
3. Open the inventory and confirm the item appears
4) Drag the item and drop it in the first hotbar slot
5) Activate the hotbar slot pressing (1)
6) Equip item in hand using (W)
7) In the barn go close to the plane and press P to place (use) the item</t>
  </si>
  <si>
    <t>The item disappears from the world and appears correctly in the inventory with the correct icon/name.</t>
  </si>
  <si>
    <t>F23</t>
  </si>
  <si>
    <t>Toggle Object Visibility</t>
  </si>
  <si>
    <t>Verify that the player can toggle the visibility of certain objects using the visibility switch mechanic.</t>
  </si>
  <si>
    <t>Level section containing objects affected by the visibility switch</t>
  </si>
  <si>
    <t>1. Go in a Visibility Zone (plateforms are in there)
2. Press E key to toggle on or off visiblity
3. Observe affected objects becoming visible or invisible
4. Toggle again and confirm objects revert</t>
  </si>
  <si>
    <t>Affected objects reliably switch between visible and invisible states, and their collision state updates consistently with their visibility (if intended).</t>
  </si>
  <si>
    <t>could not access it</t>
  </si>
  <si>
    <t>F24</t>
  </si>
  <si>
    <t>Crossing a Color Portal</t>
  </si>
  <si>
    <t>Verify that the game's color grading evolves as intended (e.g. across levels or story progression).</t>
  </si>
  <si>
    <t>Progress through at least two areas/levels with different intended color styles</t>
  </si>
  <si>
    <t>1. Approach a color portal 2.See the color changing through the portal
3. Cross the color portal
4. Observe the color grading change</t>
  </si>
  <si>
    <t>The color grading transitions smoothly and clearly reflects the intended visual evolution between areas or story beats.</t>
  </si>
  <si>
    <t>F25</t>
  </si>
  <si>
    <t>View &amp; Skip a Cinematic</t>
  </si>
  <si>
    <t>Verify that story cinematics play correctly and return control to the player afterward.</t>
  </si>
  <si>
    <t>Level section that triggers a cinematic</t>
  </si>
  <si>
    <t>1. Reach the trigger point for the cinematic by opening Showroom map
2. Let the cinematic play through fully
3. Confirm control returns to the player afterward
4. Repeat step 1 to 3 but hold Space to skip cinematic</t>
  </si>
  <si>
    <t>The cinematic plays without stutter or audio desync, and gameplay control is returned smoothly once it ends.</t>
  </si>
  <si>
    <t>F26</t>
  </si>
  <si>
    <t>Retry a Failed Puzzle Attempt</t>
  </si>
  <si>
    <t>Verify that the player can retry a puzzle after an incorrect attempt without needing to restart the level.</t>
  </si>
  <si>
    <t>An incorrect combination/attempt has just been made on a puzzle</t>
  </si>
  <si>
    <t>1. Attempt the puzzle and fail it
2. Observe the failure feedback
3. Attempt the puzzle again and win it to see the win condition</t>
  </si>
  <si>
    <t>The puzzle resets its interactive state after a failed attempt and can be immediately retried without a reload or crash.</t>
  </si>
  <si>
    <t>F27</t>
  </si>
  <si>
    <t>Activate a Pressure Plate</t>
  </si>
  <si>
    <t>Verify that pressure plates correctly detect weight and trigger their linked mechanism.</t>
  </si>
  <si>
    <t>Level section containing a pressure plate and a linked mechanism (door, platform, etc.)</t>
  </si>
  <si>
    <t>1. Step onto the pressure plate
2. Observe the linked mechanism activating (Door should open)
3. Step off the plate and observe whether the mechanism deactivates</t>
  </si>
  <si>
    <t>The pressure plate reliably detects the player and triggers the linked mechanism correctly each time.</t>
  </si>
  <si>
    <t>F28</t>
  </si>
  <si>
    <t>Connect Cables (Snake-Style Mini-Game)</t>
  </si>
  <si>
    <t>Verify that the player can complete the cable-connection mini-game to link two points.</t>
  </si>
  <si>
    <t>Level section containing a cable-connection puzzle</t>
  </si>
  <si>
    <t>1. Interact with the cable puzzle to start it (E key)
2. Route the cable from the start point to the end point, avoiding obstacles (Navigating with movement keybinds)
3. Confirm the connection once the endpoint is reached</t>
  </si>
  <si>
    <t>The cable can be routed successfully to the endpoint, obstacles block invalid paths as intended, and a successful connection triggers the correct outcome.</t>
  </si>
  <si>
    <t>F29</t>
  </si>
  <si>
    <t>Switch to Third-Person Camera</t>
  </si>
  <si>
    <t>Verify that the player can switch between first-person and third-person camera views.</t>
  </si>
  <si>
    <t>Player in an open area</t>
  </si>
  <si>
    <t>1. Press the camera-toggle key/button (B)
2. Observe the camera switching to third-person
3. Move the character and camera to confirm normal behavior
4. Press B again to see the other point of view
4. Toggle back to first-person and confirm the switch (J)</t>
  </si>
  <si>
    <t>The camera switches cleanly between views with no clipping through the character or environment, and character control remains responsive in both modes.</t>
  </si>
  <si>
    <t>i cant toggle perspective</t>
  </si>
  <si>
    <t>F30</t>
  </si>
  <si>
    <t>Capture Content with the Viewfinder</t>
  </si>
  <si>
    <t>Verify that the player can use the viewfinder to "capture" content from the game world.</t>
  </si>
  <si>
    <t>Level section supporting the viewfinder mechanic; a capturable object/scene in view</t>
  </si>
  <si>
    <t>1. Take a picture with the camera item
2. Aim it at a capturable object or scene
3. Trigger the capture action
4. Confirm the captured content is stored (e.g. as a photo/item)</t>
  </si>
  <si>
    <t>The targeted content is correctly captured and stored, with clear visual/audio feedback confirming the capture.</t>
  </si>
  <si>
    <t>Feature not implemented yet</t>
  </si>
  <si>
    <t>F31</t>
  </si>
  <si>
    <t>Place the Photo Item into the Game</t>
  </si>
  <si>
    <t>Verify that previously captured photo content can be brought back into the game world as a real object.</t>
  </si>
  <si>
    <t>At least one piece of content has been captured with the viewfinder</t>
  </si>
  <si>
    <t>1. Equip the photo Item in hand
2. Aim at a valid placement location
3. Trigger the placement action
4. Confirm the objects in the picture appears physically in the world</t>
  </si>
  <si>
    <t>The captured content materializes as a real, physically-present object at the targeted location, matching its captured appearance.</t>
  </si>
  <si>
    <t>F32</t>
  </si>
  <si>
    <t>Interact with Tutorial Book</t>
  </si>
  <si>
    <t>Not started</t>
  </si>
  <si>
    <t>Verify that the tutorial book teaches core controls correctly via its illustrated pages.</t>
  </si>
  <si>
    <t>Start of Chapter 1, player at the beginning of the bedroom scene</t>
  </si>
  <si>
    <t>1. Approach the open book on the floor
2. Turn through its pages clicking next button
3. Observe the drawn control prompts (e.g. the stick-figure jumping on Space)
4. Close/put away the book once finished</t>
  </si>
  <si>
    <t>Each page displays the correct control prompt with a clear illustrated demonstration, and closing the book returns control to the player without issues.</t>
  </si>
  <si>
    <t>F33</t>
  </si>
  <si>
    <t>Locate the Rocket Ship constellation</t>
  </si>
  <si>
    <t>Verify that looking through the telescope reveals the rocket-shaped constellation clue.</t>
  </si>
  <si>
    <t>Player is near the telescope in the bedroom</t>
  </si>
  <si>
    <t>1. Interact with the telescope (E) to look through it
2. Observe the night sky view
3. Identify the rocket-shaped constellation</t>
  </si>
  <si>
    <t>The telescope view clearly displays a constellation shaped like the rocket, providing a legible clue toward the rocket toy.</t>
  </si>
  <si>
    <t>F34</t>
  </si>
  <si>
    <t>Complete the "Find Jack" Enigma</t>
  </si>
  <si>
    <t>Verify that the player can complete the full "Find Jack" sequence from the locked door to retrieving the plushie.</t>
  </si>
  <si>
    <t>Player has explored the bedroom and identified the rocket toy as the point of interest</t>
  </si>
  <si>
    <t>1. Attempt to open the bedroom door and observe it is locked
2. Enter the rocket toy by stepping through it's door
3. Observe the seamless transition into its giant imaginary interior
4. Complete the platformer section (bouncy plushie floor, moving platforms) to reach the top
5. Retrieve Jack, who is glowing at the top
6. Exit the rocket and observe it return to its small toy state
7. Open the now-unlocked bedroom door</t>
  </si>
  <si>
    <t>The entire sequence completes without errors: the transition into the rocket is seamless, the platformer section is completable without softlocks, Jack is correctly retrieved, and the door unlocks only after Jack is obtained.</t>
  </si>
  <si>
    <t>F35</t>
  </si>
  <si>
    <t>Find Clothes Enigma</t>
  </si>
  <si>
    <t>Verify that the player can find and put on clothes before heading outside.</t>
  </si>
  <si>
    <t>Breakfast scene completed, mother has asked Céleste to get dressed</t>
  </si>
  <si>
    <t>1. Explore the house to locate the clothes
2. Interact (E key) with the clothes to collect/equip them
3. Confirm Céleste is now dressed</t>
  </si>
  <si>
    <t>The clothes can be found through normal exploration, and once collected, the character model updates and the path outside becomes accessible.</t>
  </si>
  <si>
    <t>F36</t>
  </si>
  <si>
    <t>Pilot the Plane during Flight Sequence</t>
  </si>
  <si>
    <t>Verify that the player can pilot the plane through the imaginary flight sequence.</t>
  </si>
  <si>
    <t>Plane repair puzzle completed, Céleste seated in the pilot's seat</t>
  </si>
  <si>
    <t>1. Take control of the plane in the dream sequence
2. Steer to avoid obstacles
3. Fly through the luminous circles
4. Reach the end of the sequence</t>
  </si>
  <si>
    <t>The plane responds correctly to steering input, obstacles and circles register collisions/passes correctly, and the sequence ends cleanly back in reality.</t>
  </si>
  <si>
    <t>F37</t>
  </si>
  <si>
    <t>Exit the Infinite Corridor Loop</t>
  </si>
  <si>
    <t>Verify that the hospital corridor loops infinitely when no valid exit condition has been met.</t>
  </si>
  <si>
    <t>Player is in the looping corridor segment, without the correct code/condition</t>
  </si>
  <si>
    <t>1. Walk the corridor to its apparent end
2. Continue forward
3. Observe the corridor looping back to a previous or equivalent point
4. Repeat the loop at least twice
5. Spot a difference to break the loop
6. End the level by spotting the differences and escape all corridors</t>
  </si>
  <si>
    <t>The corridor loops seamlessly with no visible seam, loading hitch, or way to bypass it without meeting the exit condition.</t>
  </si>
  <si>
    <t>F38</t>
  </si>
  <si>
    <t>Control the time</t>
  </si>
  <si>
    <t>Verify that the player can use directional movement to advance or rewind time in the maze, correctly moving objects around them.</t>
  </si>
  <si>
    <t>Player is in the Chapter 3 forest-approach maze sequence, following the star</t>
  </si>
  <si>
    <t>1. Move in the "left" direction and observe time advancing (objects/obstacles shifting position accordingly)
2. Move in the opposite direction and observe time rewinding (objects/obstacles returning to prior positions)
3. Alternate directions to navigate around an obstacle that only allows passage at a specific point in time
4. Reach the end of the path using the time manipulation</t>
  </si>
  <si>
    <t>Moving in one direction consistently advances time and moving in the opposite direction consistently rewinds it, with surrounding objects updating position accordingly in both cases, and the maze is completable using this mechanic.</t>
  </si>
  <si>
    <t>F39</t>
  </si>
  <si>
    <t>Request a Hint</t>
  </si>
  <si>
    <t>Verify that Jack the plushie provides hints, including prompting the player to use the day/night key.</t>
  </si>
  <si>
    <t>Player is in the forest with Jack equipped</t>
  </si>
  <si>
    <t>1. Remain idle or stuck for a period
2. Observe Jack's hint behavior (glow/phosphorescence)
3. Observe the prompt suggesting the way to solve the enigma</t>
  </si>
  <si>
    <t>Jack's hint cues trigger appropriately without being intrusive, and the day/night key prompt is clear and correctly tied to the current situation.</t>
  </si>
  <si>
    <t>F40</t>
  </si>
  <si>
    <t>Follow the Trail</t>
  </si>
  <si>
    <t>Verify that the player can follow a trail of will-o'-the-wisps through the forest.</t>
  </si>
  <si>
    <t>Player has entered the forest exploration segment</t>
  </si>
  <si>
    <t>1. Locate the first will-o'-the-wisp
2. Follow it as it moves
3. Continue following the chain of wisps to the cabin</t>
  </si>
  <si>
    <t>The wisps guide the player reliably toward the cabin, remaining visible and followable without leading into dead ends or getting the player stuck.</t>
  </si>
  <si>
    <t>F41</t>
  </si>
  <si>
    <t>Escape the Monster Pursuit in Night Mode</t>
  </si>
  <si>
    <t>Verify that the plush monster pursues the player when in night mode, with the correct camera feedback.</t>
  </si>
  <si>
    <t>Player is in night mode in the forest, monster is active</t>
  </si>
  <si>
    <t>1. Remain in night mode in the forest for an extended period
2. Observe the monster approaching
3. Move away from the monster
4. Observe the camera vibration/shake as it closes in
5. Watch the monster disappear when it's day time
6. Escape the forest without getting caught</t>
  </si>
  <si>
    <t>The monster reliably pursues the player in night mode, closes distance at the intended pace, and the camera shake effect triggers correctly as a warning cue.</t>
  </si>
  <si>
    <t>F42</t>
  </si>
  <si>
    <t>Move Off-Path Fog Indicator</t>
  </si>
  <si>
    <t>Verify that wandering too far from the intended path triggers a fog effect and resets the player.</t>
  </si>
  <si>
    <t>Player is navigating the pathless forest section</t>
  </si>
  <si>
    <t>1. Deliberately move far off the intended route
2. Observe the fog effect appearing
3. Continue moving away
4. Confirm the player is returned to the start of the segment</t>
  </si>
  <si>
    <t>The fog reliably appears once the player strays too far, and the reset returns the player to a sensible restart point without softlocking or losing prior progress in the chapter.</t>
  </si>
  <si>
    <t>F43</t>
  </si>
  <si>
    <t>Get Caught by the Monster to reset the Level</t>
  </si>
  <si>
    <t>Verify that being caught by the monster correctly resets the player to the start of the level.</t>
  </si>
  <si>
    <t>Player is in night mode being pursued by the monster</t>
  </si>
  <si>
    <t>1. Allow the monster to catch up and touch the player
2. Observe the reset trigger
3. Confirm the player restarts at the beginning of the level</t>
  </si>
  <si>
    <t>Contact with the monster reliably triggers a clean reset to the level's start, with no lingering state issues (e.g. incorrect day/night mode, stuck camera).</t>
  </si>
  <si>
    <t>F44</t>
  </si>
  <si>
    <t>Swim/Dive Mechanic</t>
  </si>
  <si>
    <t>Verify that the player can swim and dive underwater to reach the lake's depths.</t>
  </si>
  <si>
    <t>Player has reached the lake and entered the water</t>
  </si>
  <si>
    <t>1. Enter the water
2. Swim toward the center of the lake
3. Dive downward toward the lakebed
4. Confirm free movement in all directions underwater using movement keys</t>
  </si>
  <si>
    <t>Swimming and diving controls respond correctly in all directions, with no clipping through the lakebed or getting stuck at the surface.</t>
  </si>
  <si>
    <t>F45</t>
  </si>
  <si>
    <t>Complete Cube Quest</t>
  </si>
  <si>
    <t>Verify that the player can complete the Rocket by picking up pieces in each face of the cube</t>
  </si>
  <si>
    <t>Player has entered each face of the lake cube</t>
  </si>
  <si>
    <t>1. Navigate each face of the cube
2. Solve enigmas of every face
3. Pick up and store every piece in inventory
4. Go outside of the cube
5. Look for the assembly zone of the rocket
6. Place the pieces of the rocket to solve the quest</t>
  </si>
  <si>
    <t>The scale and navigation puzzle is completable without collision errors, and the reactor piece is correctly added to the player's collected items once retrieved.</t>
  </si>
  <si>
    <t>Sign Up</t>
  </si>
  <si>
    <t>Verify that a visitor can create two independent Pathly accounts for collaborative testing.</t>
  </si>
  <si>
    <t>Pathly is accessible from the Access link in the first tab. The tester has access to two different email addresses that are not already registered in Pathly. The optional temporary email service in the first tab may be used if appropriate.</t>
  </si>
  <si>
    <t>1. Choose and note a unique Tester ID (for example AB4821) for this ATP run.
2. In a regular browser session, open the Pathly Access link and navigate to Sign up.
3. Create User A with a unique email address and a password chosen by the tester.
4. Complete any email/authentication verification requested and confirm that Pathly opens while authenticated.
5. Keep User A signed in.
6. Open a private/incognito window or a second browser and navigate to Sign up.
7. Create User B using a different unique email address and a password chosen by the tester.
8. Complete any verification requested and confirm that User B can access Pathly.
9. Keep both accounts available in their separate browser sessions for the following scenarios.</t>
  </si>
  <si>
    <t>Two distinct Pathly accounts are created without blocking errors. User A and User B can access the authenticated platform independently in separate browser sessions.</t>
  </si>
  <si>
    <t>Log in and log out</t>
  </si>
  <si>
    <t>Verify that an existing user can authenticate and securely end the session.</t>
  </si>
  <si>
    <t>User A and User B were created during F1. The tester knows the credentials for both accounts and has two separate browser sessions available.</t>
  </si>
  <si>
    <t>1. Log out User A from the regular browser session.
2. Log in again using the User A credentials created during F1.
3. Confirm that the authenticated interface and sidebar are displayed.
4. Log out User B from the second/private browser session.
5. Log in again using the User B credentials created during F1.
6. Confirm that the authenticated interface is displayed for User B.
7. Leave User A and User B logged in in their separate sessions for the following scenarios.</t>
  </si>
  <si>
    <t>Both tester-created accounts can log out and authenticate again successfully, and each account remains isolated in its own browser session.</t>
  </si>
  <si>
    <t>View and navigate trips from home</t>
  </si>
  <si>
    <t>Verify that User A can view, search, filter and open their trips from Home.</t>
  </si>
  <si>
    <t>User A is logged in. Complete F4 first so that 'ATP Planned Trip - [Tester ID]' is available in User A's account.</t>
  </si>
  <si>
    <t>1. Open Home as User A.
2. Verify the current/upcoming trip visualization.
3. Use the top-right view control to switch to the alternative trip list view.
4. Switch between Upcoming and Past trips.
5. Search for 'ATP Planned Trip - [Tester ID]'.
6. Use a trip card action shortcut such as Calendar, Chat, Files or Gallery.
7. Return to Home and open the trip by selecting its card.</t>
  </si>
  <si>
    <t>Trip views load correctly, filters and search update the displayed trips, card shortcuts open the expected section, and selecting a trip card opens the correct trip overview.</t>
  </si>
  <si>
    <t>Minor</t>
  </si>
  <si>
    <t>Once you close the home sidebar, there's no way to open it again.</t>
  </si>
  <si>
    <t>Create a planned trip</t>
  </si>
  <si>
    <t>Verify that User A can create a trip when the destination and travel dates are already known.</t>
  </si>
  <si>
    <t>User A is logged in. A valid future date range and a cover image from the Test Files folder are available. A unique Tester ID was chosen in F1.</t>
  </si>
  <si>
    <t>1. Open Create.
2. Select Planned Trip.
3. Enter the trip name 'ATP Planned Trip - [Tester ID]' using the Tester ID chosen in F1.
4. Set a destination such as Paris, France.
5. Select a valid future date range of at least 3 days.
6. Add a short description.
7. Continue to Friends &amp; Cover and select/upload a cover image if requested.
8. Review the information.
9. Create the trip.
10. Return to Home and locate 'ATP Planned Trip - [Tester ID]'.</t>
  </si>
  <si>
    <t>The Planned Trip is created with the entered information, its overview opens successfully, and the trip remains visible from Home after a page reload.</t>
  </si>
  <si>
    <t>Create an open trip</t>
  </si>
  <si>
    <t>Verify that User A can create a trip whose destination and dates will be decided collaboratively.</t>
  </si>
  <si>
    <t>User A is logged in. A cover image from the Test Files folder is available. A unique Tester ID was chosen in F1.</t>
  </si>
  <si>
    <t>1. Open Create.
2. Select Open Trip.
3. Enter the trip name 'ATP Open Trip - [Tester ID]' using the Tester ID chosen in F1, and add a short description.
4. Continue through the creation flow without selecting a final destination or travel dates.
5. Select/upload a cover image when requested.
6. Review the information.
7. Create the trip.</t>
  </si>
  <si>
    <t>The Open Trip is created and opens on the collaborative decision page where destinations and dates can be proposed and voted on.</t>
  </si>
  <si>
    <t>Manage trip participants</t>
  </si>
  <si>
    <t>Verify that the owner can invite another user and manage trip membership.</t>
  </si>
  <si>
    <t>User A and User B were created during F1 and are logged in in separate browser sessions. User A owns 'ATP Open Trip - [Tester ID]'.</t>
  </si>
  <si>
    <t>1. As User A, open 'ATP Open Trip - [Tester ID]'.
2. Open the members/participants control.
3. Invite User B using the email/username of the User B account created during F1.
4. Switch to the separate User B browser session.
5. Open the trip invitation notification or invitation flow and accept/join the trip.
6. Return to User A and refresh the member list.
7. Verify that User B is listed as a member and that owner management controls are available.</t>
  </si>
  <si>
    <t>User B can join the trip and appears in the member list. User A retains the expected owner controls for trip participants.</t>
  </si>
  <si>
    <t>Propose open trip destinations</t>
  </si>
  <si>
    <t>Verify that trip members can submit destination proposals for an Open Trip.</t>
  </si>
  <si>
    <t>User A and User B are members of 'ATP Open Trip - [Tester ID]'. The trip is still in the destination/date decision stage. Use the same User A / User B pair created in F1 in separate browser sessions.</t>
  </si>
  <si>
    <t>1. As User A, open 'ATP Open Trip - [Tester ID]'.
2. Select Propose destination.
3. Add 'Lisbon, Portugal'.
4. Add a second proposal such as 'Porto, Portugal'.
5. As User B, refresh/open the same trip.
6. Verify that both proposals are visible to both members.</t>
  </si>
  <si>
    <t>Both destination proposals are stored and displayed consistently to the trip members and are available for voting.</t>
  </si>
  <si>
    <t>Propose open trip dates</t>
  </si>
  <si>
    <t>Verify that trip members can submit possible travel date ranges for an Open Trip.</t>
  </si>
  <si>
    <t>1. Open 'ATP Open Trip - [Tester ID]'.
2. Select Propose dates.
3. Add a valid future date range of at least 3 days.
4. Add a second, different valid future date range.
5. Open the trip as the other user and refresh the page.
6. Verify that both proposed date ranges are visible.</t>
  </si>
  <si>
    <t>Both date proposals are stored, displayed to all trip members and available for voting.</t>
  </si>
  <si>
    <t>Vote and finalize an open trip</t>
  </si>
  <si>
    <t>Verify that members can vote on proposed destinations and dates and move the trip into the planning stage after reaching a shared decision.</t>
  </si>
  <si>
    <t>F7 and F8 have been completed. User A and User B are active members of 'ATP Open Trip - [Tester ID]' and can use separate sessions.</t>
  </si>
  <si>
    <t>1. As User A, vote for 'Lisbon, Portugal' and one of the proposed date ranges.
2. As User B, vote for the same destination and date range.
3. Refresh both sessions and verify the winning destination/date information.
4. Complete any confirmation/acceptance required from both members.
5. Verify that the Start Planning action becomes available.
6. Start planning the trip.</t>
  </si>
  <si>
    <t>The selected destination and date range are reflected as the group decision and the Open Trip successfully transitions to the standard trip planning/overview state.</t>
  </si>
  <si>
    <t>View trip overview</t>
  </si>
  <si>
    <t>Verify that the trip overview displays the main planning information and provides access to the trip tools.</t>
  </si>
  <si>
    <t>ATP Open Trip - [Tester ID]' has been finalized through F9. User A is logged in.</t>
  </si>
  <si>
    <t>1. Open 'ATP Open Trip - [Tester ID]' from Home.
2. Verify the trip title, description, destination, dates and participants.
3. Verify the planned activity count and trip progress area.
4. Verify the mini calendar.
5. Use the Chat, Expenses, Files and Gallery shortcuts and return to the overview after each check.
6. Select the mini calendar and verify that it opens the trip calendar.
7. Return to the overview.</t>
  </si>
  <si>
    <t>The overview shows the correct trip data and all displayed shortcuts navigate to the corresponding trip sections.</t>
  </si>
  <si>
    <t>Edit trip information and visibility</t>
  </si>
  <si>
    <t>Verify that a trip owner can edit trip properties and control public/private visibility.</t>
  </si>
  <si>
    <t>User A is logged in and owns 'ATP Planned Trip - [Tester ID]'. A test image is available from the Test Files folder.</t>
  </si>
  <si>
    <t>1. Open 'ATP Planned Trip - [Tester ID]'.
2. Select Edit.
3. Modify the trip description.
4. Change the cover image if the edit flow allows it.
5. Save the changes.
6. Verify that the updated values are visible in the overview.
7. Use the visibility control over the cover image to make the itinerary Public.
8. Reload the page and verify that the public state is preserved.</t>
  </si>
  <si>
    <t>Edited trip information persists after reload and the trip can be changed to Public without a blocking error.</t>
  </si>
  <si>
    <t>View and filter trip activities</t>
  </si>
  <si>
    <t>Verify that trip members can access the complete activity list and filter activities by status.</t>
  </si>
  <si>
    <t>User A is logged in and 'ATP Open Trip - [Tester ID]' has been finalized. The trip contains at least two activities. If fewer than two activities exist, create simple temporary activities before continuing.</t>
  </si>
  <si>
    <t>1. Open 'ATP Open Trip - [Tester ID]'.
2. Select All activities.
3. Verify that the activity cards display key information such as name, image, date/time, location, price and status when available.
4. Use the activity status filter.
5. Switch between at least two filter values.
6. Open one activity card.</t>
  </si>
  <si>
    <t>The list displays the trip activities, the selected filter changes the visible results correctly, and selecting a card opens the corresponding activity detail page.</t>
  </si>
  <si>
    <t>Create an activity</t>
  </si>
  <si>
    <t>Verify that a trip member can create a complete activity through the multi-step form.</t>
  </si>
  <si>
    <t>User A is logged in and is a member of 'ATP Open Trip - [Tester ID]'. The trip has finalized travel dates and the tester is using the Tester ID chosen in F1.</t>
  </si>
  <si>
    <t>1. Open 'ATP Open Trip - [Tester ID]'.
2. Select Add activity.
3. Enter the name 'ATP Museum Visit - [Tester ID]'.
4. Add a description and at least one tag.
5. Complete the Details &amp; Media step with optional price/media information.
6. Set a date within the trip date range, a valid time and a location.
7. Review the activity.
8. Create it.
9. Return to the activity list.</t>
  </si>
  <si>
    <t>The activity is created with the entered information, appears in 'ATP Open Trip - [Tester ID]', and remains available after reloading the page.</t>
  </si>
  <si>
    <t>Create an activity from saved content</t>
  </si>
  <si>
    <t>Verify that a saved public activity can be reused to pre-fill the activity creation form.</t>
  </si>
  <si>
    <t>User A is logged in. Public activities created by other users are available in Explore. 'ATP Planned Trip - [Tester ID]' exists.</t>
  </si>
  <si>
    <t>1. Open Explore and select Activities.
2. Open any public activity and save it.
3. Note the saved activity title.
4. Open 'ATP Planned Trip - [Tester ID]'.
5. Select Add activity.
6. Select Use saved activity.
7. Choose the activity saved in step
2. 8. Verify that the creation form is pre-filled.
9. Adjust the date/time if necessary so it fits the trip.
10. Complete the creation flow.</t>
  </si>
  <si>
    <t>The saved activity can be selected, its information is used to pre-fill the form, and the new activity is successfully added to 'ATP Planned Trip - [Tester ID]'.</t>
  </si>
  <si>
    <t>View and manage activity details</t>
  </si>
  <si>
    <t>Verify that activity information can be viewed, edited, have its visibility changed, and be deleted when appropriate.</t>
  </si>
  <si>
    <t>ATP Museum Visit - [Tester ID]' exists in 'ATP Open Trip - [Tester ID]'. User A has permission to manage the activity.</t>
  </si>
  <si>
    <t>1. Open the 'ATP Museum Visit - [Tester ID]' detail page.
2. Verify its description, date, time, location, price/tags and current status.
3. Select Edit, modify the description and save.
4. Verify that the edited description persists.
5. Toggle the activity visibility between Public and Private and verify the displayed state.
6. Create a temporary activity named 'ATP Delete Test - [Tester ID]' with the minimum required information.
7. Open 'ATP Delete Test - [Tester ID]'.
8. Select Delete and confirm the action.
9. Return to the activity list.</t>
  </si>
  <si>
    <t>Activity details are displayed correctly, edits and visibility changes persist, and the temporary activity is removed after deletion while 'ATP Museum Visit - [Tester ID]' remains available.</t>
  </si>
  <si>
    <t>Vote on an activity</t>
  </si>
  <si>
    <t>Verify that votes from multiple trip members are stored, displayed and can change the activity status.</t>
  </si>
  <si>
    <t>ATP Museum Visit - [Tester ID]' exists in 'ATP Open Trip - [Tester ID]' and is Pending. User A and User B are members of the trip and are open in separate browser sessions.</t>
  </si>
  <si>
    <t>1. As User A, open 'ATP Museum Visit - [Tester ID]' and vote Accept.
2. As User B, open the same activity and vote Accept.
3. Refresh the activity in both sessions.
4. Verify that both participant votes are shown and that the activity reaches the expected accepted state.
5. Change User B's vote once and verify the update.
6. Change User B's vote back to Accept so the activity finishes accepted.</t>
  </si>
  <si>
    <t>Both users' votes are stored and visible, changing a vote updates the displayed result, and the final activity status reflects the participants' final votes.</t>
  </si>
  <si>
    <t>Organize activities with the calendar</t>
  </si>
  <si>
    <t>Verify the calendar views and activity rescheduling rules.</t>
  </si>
  <si>
    <t>ATP Open Trip - [Tester ID]' contains multiple activities. 'ATP Museum Visit - [Tester ID]' is accepted after F16 and at least one activity can be rescheduled.</t>
  </si>
  <si>
    <t>1. Open the Calendar for 'ATP Open Trip - [Tester ID]'.
2. Switch between Day, Week and Month views.
3. Locate 'ATP Museum Visit - [Tester ID]'.
4. Drag the accepted activity to another valid date within the trip.
5. Confirm the move if requested.
6. Verify that moving the accepted activity resets its approval/votes and requires re-approval.
7. Move a Pending activity using drag and drop.
8. Reload the calendar.</t>
  </si>
  <si>
    <t>All calendar views load correctly, eligible activities can be moved to valid dates, the new dates persist after reload, and moving an accepted activity applies the documented vote-reset behavior.</t>
  </si>
  <si>
    <t>Dragging an activity in the day and week calendars work perfectly and as planed, but you can't drag an activity in the month format of the calendar</t>
  </si>
  <si>
    <t>Use trip chat</t>
  </si>
  <si>
    <t>Verify real-time trip communication between two participants.</t>
  </si>
  <si>
    <t>User A and User B are members of 'ATP Open Trip - [Tester ID]' and are logged in in separate browser sessions.</t>
  </si>
  <si>
    <t>1. As User A, open Messages and select the 'ATP Open Trip - [Tester ID]' conversation.
2. Send the message 'ATP chat test - [Tester ID] - from User A'.
3. As User B, open the same trip conversation.
4. Verify that User A's message is visible.
5. Send the reply 'ATP chat test - [Tester ID] - from User B'.
6. Return to User A and verify that the reply is visible.
7. Use the Trip and Activities shortcuts at the top of the chat.</t>
  </si>
  <si>
    <t>Messages from both users are delivered to the correct trip conversation and the chat shortcuts open the related trip overview and activity list.</t>
  </si>
  <si>
    <t>Share an activity in trip chat</t>
  </si>
  <si>
    <t>Verify that an activity can be shared as a referenced item in the trip conversation.</t>
  </si>
  <si>
    <t>ATP Museum Visit - [Tester ID]' exists and 'ATP Open Trip - [Tester ID]' has an active conversation with User A and User B. Use the same User A / User B pair created in F1 in separate browser sessions.</t>
  </si>
  <si>
    <t>1. As User A, open the 'ATP Museum Visit - [Tester ID]' detail page.
2. Select Send to chat.
3. Open the 'ATP Open Trip - [Tester ID]' conversation.
4. Verify that the activity reference appears in the chat.
5. Open the shared activity reference from the chat if it is clickable.
6. As User B, verify that the same shared item is visible.</t>
  </si>
  <si>
    <t>The activity is shared in the correct trip conversation as a recognizable referenced item and is visible to the trip participants.</t>
  </si>
  <si>
    <t>Manage trip and activity files</t>
  </si>
  <si>
    <t>Verify that files attached to an activity/trip can be accessed and downloaded.</t>
  </si>
  <si>
    <t>User A is logged in. 'ATP Open Trip - [Tester ID]' and 'ATP Museum Visit - [Tester ID]' exist. The Test Files to download link in the first tab contains 'test-file.pdf'.</t>
  </si>
  <si>
    <t>1. Open the Test Files to download link from the first tab and download 'test-file.pdf'.
2. Open the 'ATP Museum Visit - [Tester ID]' detail page.
3. Open its Files section and attach 'test-file.pdf'.
4. Verify that the file is associated with the activity.
5. Open the trip-level Files page for 'ATP Open Trip - [Tester ID]'.
6. Locate the uploaded file.
7. Download the stored file from Pathly.</t>
  </si>
  <si>
    <t>The test PDF can be attached to the activity, is accessible from the relevant file views, and can be downloaded successfully from Pathly.</t>
  </si>
  <si>
    <t>Major</t>
  </si>
  <si>
    <t>You can't add files to trips</t>
  </si>
  <si>
    <t>Manage trip gallery and activity photos</t>
  </si>
  <si>
    <t>Verify that trip photos can be uploaded, viewed, filtered and downloaded, and that activity photos are accessible.</t>
  </si>
  <si>
    <t>User A is logged in. 'ATP Open Trip - [Tester ID]' exists. The Test Files to download link contains 'test-image'.</t>
  </si>
  <si>
    <t>1. Download 'test-image' from the Test Files folder in the first tab.
2. Open the Gallery for 'ATP Open Trip - [Tester ID]'.
3. Select Upload and upload the test image.
4. Associate it with a trip day/activity if that option is presented.
5. Verify that the image appears in the gallery.
6. Use the day filter and verify that the image appears in the correct result.
7. Open the image viewer.
8. Verify the displayed day/activity metadata when available.
9. Download the image from the viewer.
10. Open the linked activity and verify its Photos section if the image was associated with an activity.</t>
  </si>
  <si>
    <t>The image uploads successfully, appears in the correct gallery context, responds to the day filter, opens in the viewer and can be downloaded.</t>
  </si>
  <si>
    <t>Manage trip expenses</t>
  </si>
  <si>
    <t>Verify that a shared expense can be recorded with payer and split information.</t>
  </si>
  <si>
    <t>User A and User B are the tester-created accounts from F1, are members of 'ATP Open Trip - [Tester ID]', and are open in separate browser sessions. The test PDF is available if a receipt is desired.</t>
  </si>
  <si>
    <t>1. As User A, open Expenses for 'ATP Open Trip - [Tester ID]'.
2. Select US Dollar ($) as the expense currency if necessary.
3. Select Add expense.
4. Enter description 'ATP Dinner Expense - [Tester ID]' and total amount 50.00.
5. Optionally attach 'test-file.pdf' as the receipt.
6. Set User A as the person who paid.
7. Split the expense equally between User A and User B.
8. Save the expense.
9. Verify the new expense in the expense list.</t>
  </si>
  <si>
    <t>The 50.00 expense is recorded with User A as payer, is split equally between the two participants, and appears in the trip expense list with the correct information.</t>
  </si>
  <si>
    <t>View balances and settle expenses</t>
  </si>
  <si>
    <t>Verify that expense balances and pending settlements are calculated and can be marked as paid.</t>
  </si>
  <si>
    <t>F22 has been completed using the same tester-created User A / User B pair. 'ATP Dinner Expense - [Tester ID]' is 50.00, paid by User A and split equally between User A and User B.</t>
  </si>
  <si>
    <t>1. Open Expenses after F22.
2. Verify Total expenses shows 50.00 in the selected currency.
3. Verify User B owes User A 25.00 and User A gets back 25.00.
4. In User B's session, open the same Expenses page.
5. Locate the pending settlement to User A.
6. Select Mark as paid.
7. Confirm the action if requested.
8. Refresh both sessions and review balances/settlements.</t>
  </si>
  <si>
    <t>Before settlement, the balances reflect the 25.00 debt correctly. After marking it as paid, the pending settlement is cleared or updated and the displayed balances reflect the settlement.</t>
  </si>
  <si>
    <t>Explore public itineraries and activities</t>
  </si>
  <si>
    <t>Verify that users can discover public travel content and switch between Explore content types/feeds.</t>
  </si>
  <si>
    <t>User B is logged in in its separate browser session. 'ATP Planned Trip - [Tester ID]' was made Public in F11 and User B is not a member of that trip.</t>
  </si>
  <si>
    <t>1. As User B, open Explore.
2. Select the Discover feed.
3. Select Trips and search for 'ATP Planned Trip - [Tester ID]'.
4. Verify that the public trip card appears and displays its main information.
5. Switch to Activities and verify public activity cards are displayed.
6. Switch to the Following feed and verify that the feed changes without an error.
7. Return to Discover.</t>
  </si>
  <si>
    <t>Explore displays public trips and activities according to the selected content type/feed, and 'ATP Planned Trip - [Tester ID]' is discoverable by User B while public.</t>
  </si>
  <si>
    <t>Search and discover people</t>
  </si>
  <si>
    <t>Verify that a user can search another Pathly user by username and open the result profile.</t>
  </si>
  <si>
    <t>User A and User B are the two accounts created during F1. User B is the active account for this scenario.</t>
  </si>
  <si>
    <t>1. In a User A session, open My Profile and note User A's Pathly username.
2. As User B, open Explore.
3. Select People.
4. Enter User A's username in the search field.
5. Select the matching result.</t>
  </si>
  <si>
    <t>User A is returned for the username search and selecting the result opens User A's public profile.</t>
  </si>
  <si>
    <t>Interact with public content</t>
  </si>
  <si>
    <t>Verify likes, comments, saves and sharing on another user's public content.</t>
  </si>
  <si>
    <t>User B is logged in and can access User A's public 'ATP Planned Trip - [Tester ID]' and its public activities.</t>
  </si>
  <si>
    <t>1. Open 'ATP Planned Trip - [Tester ID]' as User B.
2. Like the itinerary.
3. Add the comment 'ATP public test comment - [Tester ID]'.
4. Save the itinerary.
5. Use Share and verify that a shareable link/action is produced.
6. Open a public activity and save it so it can be used in F29.
7. Open a different public activity, save it and then unsave it to verify both states.
8. Reload the public content.</t>
  </si>
  <si>
    <t>Like and comment states are reflected on the public content, the itinerary and selected activity remain saved after reload, unsaving removes the second item, and the Share action works without a blocking error.</t>
  </si>
  <si>
    <t>View public itinerary details</t>
  </si>
  <si>
    <t>Verify that an external user can view the complete published itinerary and its published activities.</t>
  </si>
  <si>
    <t>User B is logged in. User A's 'ATP Planned Trip - [Tester ID]' is Public and contains at least one public activity.</t>
  </si>
  <si>
    <t>1. Open 'ATP Planned Trip - [Tester ID]' from Explore or User A's profile.
2. Verify the title, description, destination, dates and Public itinerary indicator.
3. Verify the social actions (Like, Comment, Save, Share).
4. Scroll through the itinerary by day.
5. Verify that its published activity/activity cards are displayed with their information.
6. Select one activity and verify that the selected activity is clearly identifiable in the public itinerary view.</t>
  </si>
  <si>
    <t>The public itinerary is readable by User B, shows the expected public trip information and published activity content, and the selected activity can be identified from the public view.</t>
  </si>
  <si>
    <t>Reuse public travel content</t>
  </si>
  <si>
    <t>Verify that public itineraries and activities can be reused in the user's own planning.</t>
  </si>
  <si>
    <t>User B is logged in and can access User A's public 'ATP Planned Trip - [Tester ID]'. At least one additional public activity is available in Explore.</t>
  </si>
  <si>
    <t>1. Open 'ATP Planned Trip - [Tester ID]' as User B.
2. Select Create Copy.
3. Complete the copy flow if additional information is requested.
4. Open Home and verify that the copied trip belongs to User B.
5. Return to Explore and open a different public activity.
6. Select Add to Trip.
7. Choose the copied trip created in step
2. 8. Open the copied trip and verify the added activity.</t>
  </si>
  <si>
    <t>User B obtains a personal copy of the public itinerary and can add another public activity to that copied trip.</t>
  </si>
  <si>
    <t>View and search saved content</t>
  </si>
  <si>
    <t>Verify that saved itineraries and activities can be found, searched and managed.</t>
  </si>
  <si>
    <t>User B is logged in. F26 left at least one itinerary and one activity saved in the User B account created during F1.</t>
  </si>
  <si>
    <t>1. Open Saved.
2. Select Itineraries and verify that 'ATP Planned Trip - [Tester ID]' is present.
3. Search for 'ATP Planned Trip - [Tester ID]'.
4. Select Activities and verify the activity saved in F26 is present.
5. Search for the saved activity by title.
6. Open a saved item.
7. Unsave one saved item and return to Saved.</t>
  </si>
  <si>
    <t>Saved trips and activities appear in their corresponding tabs, search returns the expected item, saved content opens correctly, and an unsaved item is removed from the saved list.</t>
  </si>
  <si>
    <t>View and edit profile</t>
  </si>
  <si>
    <t>Verify profile information, social counters and profile editing.</t>
  </si>
  <si>
    <t>User A is logged in using the account created during F1. 'ATP Planned Trip - [Tester ID]' is Public.</t>
  </si>
  <si>
    <t>1. Open the user menu and select My Profile.
2. Verify the username, profile image, trip count and the Followers, Following and Friends values.
3. Verify that public itineraries, including 'ATP Planned Trip - [Tester ID]', are displayed.
4. Record the current profile description.
5. Select Edit profile.
6. Change the description to 'ATP profile test - [Tester ID]'.
7. Save and verify the updated description.
8. Restore the original description if desired.</t>
  </si>
  <si>
    <t>The profile displays the user's public and social information correctly and editable profile information persists after saving.</t>
  </si>
  <si>
    <t>Follow and unfollow users</t>
  </si>
  <si>
    <t>Verify that following relationships can be created and removed.</t>
  </si>
  <si>
    <t>User A and User B are the two accounts created during F1. User B is logged in and can find User A through Explore &gt; People.</t>
  </si>
  <si>
    <t>1. As User B, open User A's profile.
2. Follow User A.
3. Verify that the button/state changes to Following and the relevant social counter updates.
4. Unfollow User A and verify the relationship is removed.
5. Follow User A again so the relationship remains active for later notification/following checks.
6. Refresh the page.</t>
  </si>
  <si>
    <t>Follow and unfollow actions update the relationship and counters consistently, and the final Following state persists after refresh.</t>
  </si>
  <si>
    <t>Manage users preferences</t>
  </si>
  <si>
    <t>Verify that the user can change application theme and preferred currency.</t>
  </si>
  <si>
    <t>User A is logged in using the account created during F1.</t>
  </si>
  <si>
    <t>1. Open the user menu and record the current theme.
2. Toggle Dark mode/Light mode.
3. Verify that the interface theme changes.
4. Open My Profile or the currency preference control.
5. Record the current preferred currency.
6. Change the preferred currency to another available currency such as USD or EUR.
7. Verify that the selected currency is shown and monetary values use/display the preference where applicable.
8. Restore the original theme/currency if desired.</t>
  </si>
  <si>
    <t>The selected theme is applied to the interface and the preferred currency is saved and reflected in relevant monetary displays.</t>
  </si>
  <si>
    <t>View notifications</t>
  </si>
  <si>
    <t>Verify that trip and social events produce accessible notifications.</t>
  </si>
  <si>
    <t>The previous scenarios were executed with the same User A / User B pair. They generated a trip invitation for User B and social interactions/following events involving User A.</t>
  </si>
  <si>
    <t>1. As User B, open Notifications and look for the trip invitation/event generated when joining 'ATP Open Trip - [Tester ID]'.
2. Review the available notification categories/types.
3. As User A, open Notifications.
4. Verify that social events generated by User B, such as follow, like or comment, are represented when the corresponding notification type is supported.
5. Open a notification that provides a navigation target.</t>
  </si>
  <si>
    <t>Notifications are displayed with the relevant event information and supported notification links navigate to the corresponding trip, user or content context.</t>
  </si>
  <si>
    <t>AI-assisted destination suggestions</t>
  </si>
  <si>
    <t>Verify the current AI-assisted destination recommendation workflow for an Open Trip.</t>
  </si>
  <si>
    <t>User A is logged in. An Open Trip that has not yet been finalized exists; create a temporary 'ATP AI Open Trip - [Tester ID]' using F5 if necessary. This feature is still under improvement.</t>
  </si>
  <si>
    <t>1. Open the unfinalized Open Trip.
2. Select AI suggestions under Destinations.
3. Complete the preference form using a simple profile such as city break, culture and medium budget.
4. Generate destination suggestions.
5. Review the generated results.
6. Select at least one recommendation to add.
7. Return to the destination proposal list.</t>
  </si>
  <si>
    <t>The AI workflow completes without a blocking error, returns destination recommendations, and the user can choose which recommendations are added as trip proposals.</t>
  </si>
  <si>
    <t>AI-assisted activity creation</t>
  </si>
  <si>
    <t>Verify the current AI-assisted activity suggestion/creation workflow.</t>
  </si>
  <si>
    <t>User A is logged in and has a planned trip created during this ATP run with a destination and dates. This feature is still under improvement.</t>
  </si>
  <si>
    <t>1. Open a planned trip and select Add activity.
2. Select Create with AI / AI suggestions.
3. Complete the available preference inputs.
4. Generate activity suggestions.
5. Review the suggestions and select one.
6. Verify that the selected suggestion is transferred into the activity creation flow.
7. Adjust required fields if needed.
8. Complete the activity creation.</t>
  </si>
  <si>
    <t>The AI workflow completes without a blocking error, provides activity suggestions, and a selected suggestion can be used as the basis for a trip activity.</t>
  </si>
  <si>
    <t>AI-assisted itinerary reorganization</t>
  </si>
  <si>
    <t>Verify the current AI-assisted itinerary reorganization workflow.</t>
  </si>
  <si>
    <t>User A is logged in. A trip created during this ATP run contains at least three activities across the itinerary. This feature is still under improvement.</t>
  </si>
  <si>
    <t>1. Open the trip Calendar.
2. Select Reorganise with AI.
3. Start the AI reorganization workflow.
4. Review the proposed activity/date organization.
5. Apply/confirm the proposal if the interface requests confirmation.
6. Verify that all original activities remain in the trip.
7. Reload the calendar and review the resulting dates.</t>
  </si>
  <si>
    <t>The AI workflow completes without a blocking error, proposes or applies an itinerary organization that can be reviewed by the user, and no trip activities are lost.</t>
  </si>
  <si>
    <t>Install the desktop app</t>
  </si>
  <si>
    <t>Install Dissonance from the released installer for the tester's OS</t>
  </si>
  <si>
    <t>A machine matching the Test environment section; installer downloaded from the Releases page</t>
  </si>
  <si>
    <t>1. Open the Releases page
2. Download the installer for your OS (.dmg / .exe / .AppImage)
3. Run it (macOS: drag Dissonance to Applications - Linux: chmod +x the AppImage)
4. Launch Dissonance</t>
  </si>
  <si>
    <t>The app installs and launches to the Upload screen. Any OS security warning can be bypassed with the documented steps.</t>
  </si>
  <si>
    <t>Launch the app</t>
  </si>
  <si>
    <t>The app opens on the Upload screen with no error</t>
  </si>
  <si>
    <t>App installed</t>
  </si>
  <si>
    <t>1. Launch Dissonance
2. Observe the window</t>
  </si>
  <si>
    <t>A window opens showing the title, the tagline and the drop zone. No error dialog, no blank window.</t>
  </si>
  <si>
    <t>Native core loads at startup</t>
  </si>
  <si>
    <t>Confirm the C++ core (.node addon) is loaded for the current platform and architecture</t>
  </si>
  <si>
    <t>App installed, any WAV file available</t>
  </si>
  <si>
    <t>1. Launch Dissonance
2. Import a WAV file
3. Read the Duration / Sample rate / Channels row on the Analyze screen</t>
  </si>
  <si>
    <t>Real values are shown (not "-"). No "Core addon not available" message appears.</t>
  </si>
  <si>
    <t>Import a file with the file picker</t>
  </si>
  <si>
    <t>Load a WAV through the native file dialog</t>
  </si>
  <si>
    <t>App on the Upload screen, atp_stereo_44k.wav on disk</t>
  </si>
  <si>
    <t>1. Click the drop zone
2. Select atp_stereo_44k.wav
3. Confirm</t>
  </si>
  <si>
    <t>The Analyze screen opens showing the file name, its technical info and its waveform.</t>
  </si>
  <si>
    <t>Import a file by drag and drop</t>
  </si>
  <si>
    <t>Load a WAV by dropping it onto the window</t>
  </si>
  <si>
    <t>App on the Upload screen, a WAV in a file manager window</t>
  </si>
  <si>
    <t>1. Drag the WAV out of the file manager
2. Drop it on the drop zone</t>
  </si>
  <si>
    <t>Same result as picking it: Analyze opens with that file loaded. The OS does not open the file in another application.</t>
  </si>
  <si>
    <t>Drop a file anywhere in the window</t>
  </si>
  <si>
    <t>Dropping outside the drop zone also imports the file</t>
  </si>
  <si>
    <t>A file already loaded (Analyze screen)</t>
  </si>
  <si>
    <t>1. Drag a second WAV over any part of the window
2. Drop it</t>
  </si>
  <si>
    <t>The new file replaces the current one and Analyze reloads with its info, waveform and tags.</t>
  </si>
  <si>
    <t>Cancel the file dialog</t>
  </si>
  <si>
    <t>Cancelling the picker leaves the app untouched</t>
  </si>
  <si>
    <t>App on the Upload screen</t>
  </si>
  <si>
    <t>1. Click the drop zone
2. Press Cancel in the dialog</t>
  </si>
  <si>
    <t>The dialog closes, the app stays on Upload, no error is shown.</t>
  </si>
  <si>
    <t>Change file from the Analyze screen</t>
  </si>
  <si>
    <t>Swap the loaded file without restarting the app</t>
  </si>
  <si>
    <t>A file loaded</t>
  </si>
  <si>
    <t>1. Click "Change file"
2. Pick a different WAV (atp_mono_48k.wav)</t>
  </si>
  <si>
    <t>Analyze reloads with the new file name, new duration / sample rate / channels, new waveform and its own tags.</t>
  </si>
  <si>
    <t>Non-WAV audio file</t>
  </si>
  <si>
    <t>The app must fail clearly on audio formats the core cannot parse yet</t>
  </si>
  <si>
    <t>atp_sample.mp3 on disk</t>
  </si>
  <si>
    <t>1. Click the drop zone
2. Select atp_sample.mp3 (the picker allows mp3/ogg/m4a/flac)
3. Observe the Analyze screen
4. Click Process</t>
  </si>
  <si>
    <t>The app does not crash: either the file is refused with a readable message, or processing fails with a readable message and returns to Analyze. Only WAV is supported today.</t>
  </si>
  <si>
    <t>Corrupt or truncated WAV</t>
  </si>
  <si>
    <t>Malformed input must not crash the app</t>
  </si>
  <si>
    <t>atp_corrupt.wav on disk</t>
  </si>
  <si>
    <t>1. Import atp_corrupt.wav
2. Click Process</t>
  </si>
  <si>
    <t>An error message is shown and the app stays usable. No crash, no freeze, no silent success producing a broken file.</t>
  </si>
  <si>
    <t>Display WAV technical info</t>
  </si>
  <si>
    <t>Show duration, sample rate and channel count of the imported file</t>
  </si>
  <si>
    <t>atp_stereo_44k.wav imported</t>
  </si>
  <si>
    <t>1. Import the file
2. Read the info row
3. Compare with the file's real properties (OS file info or a DAW)</t>
  </si>
  <si>
    <t>Duration is shown as m:ss, sample rate in Hz and channel count, all matching the real file.</t>
  </si>
  <si>
    <t>Waveform rendering</t>
  </si>
  <si>
    <t>Draw the waveform of the imported file</t>
  </si>
  <si>
    <t>A WAV imported</t>
  </si>
  <si>
    <t>1. Look at the waveform panel on the Analyze screen</t>
  </si>
  <si>
    <t>The waveform is drawn across the full panel width, visibly matches the audio, and the transport controls are visible.</t>
  </si>
  <si>
    <t>Play and pause the preview</t>
  </si>
  <si>
    <t>Listen to the imported file inside the app</t>
  </si>
  <si>
    <t>A WAV imported, audio output working</t>
  </si>
  <si>
    <t>1. Press Play
2. Listen for a few seconds
3. Press Pause</t>
  </si>
  <si>
    <t>Audio plays through the system output, the playhead advances, and pause stops playback at the current position.</t>
  </si>
  <si>
    <t>Click to seek</t>
  </si>
  <si>
    <t>Jump to a position in the track</t>
  </si>
  <si>
    <t>A track loaded</t>
  </si>
  <si>
    <t>1. Click somewhere in the middle of the waveform
2. Press Play</t>
  </si>
  <si>
    <t>Playback position jumps to the clicked point and resumes from there.</t>
  </si>
  <si>
    <t>Hold and drag scrubbing</t>
  </si>
  <si>
    <t>Scrub through the track by dragging on the waveform</t>
  </si>
  <si>
    <t>1. Press and hold on the waveform
2. Drag left and right
3. Release</t>
  </si>
  <si>
    <t>The playhead follows the cursor while dragging and playback continues from the released position.</t>
  </si>
  <si>
    <t>Playback survives a theme change</t>
  </si>
  <si>
    <t>Switching the OS theme must not reset the player</t>
  </si>
  <si>
    <t>A track loaded and playing</t>
  </si>
  <si>
    <t>1. Start playback
2. Switch the OS between light and dark mode
3. Observe the player</t>
  </si>
  <si>
    <t>Colours update and playback keeps going from the same position - it does not restart, stop or lose the waveform.</t>
  </si>
  <si>
    <t>Read WAV tags into the form</t>
  </si>
  <si>
    <t>Show the file's existing LIST/INFO tags in the Metadata panel</t>
  </si>
  <si>
    <t>atp_stereo_44k.wav (tagged) imported</t>
  </si>
  <si>
    <t>1. Import the tagged file
2. Read the Metadata panel</t>
  </si>
  <si>
    <t>Title, Artist, Date, Genre, Comment, Copyright and Software show the values stored in the file. Fields with no value stay empty.</t>
  </si>
  <si>
    <t>Edit a tag while paused</t>
  </si>
  <si>
    <t>Tag edits are saved to the source file</t>
  </si>
  <si>
    <t>A file imported, playback paused</t>
  </si>
  <si>
    <t>1. Click into Title
2. Type a new value
3. Click outside the field
4. Click "Change file", pick another file, then re-import the first one</t>
  </si>
  <si>
    <t>The new value is written to the file straight away and is still there after re-importing.</t>
  </si>
  <si>
    <t>Edit a tag while playing</t>
  </si>
  <si>
    <t>Edits made during playback are queued, not lost and not written mid-stream</t>
  </si>
  <si>
    <t>A file imported and playing</t>
  </si>
  <si>
    <t>1. Press Play
2. Edit Artist
3. Click outside the field
4. Press Pause
5. Re-import the file</t>
  </si>
  <si>
    <t>Nothing is written while audio is playing. On pause the queued write is flushed and the new value is present after re-import.</t>
  </si>
  <si>
    <t>Pending edits flushed when switching files</t>
  </si>
  <si>
    <t>No tag edit is lost when the tester changes file</t>
  </si>
  <si>
    <t>A file imported</t>
  </si>
  <si>
    <t>1. Edit Genre
2. Immediately click "Change file" and pick another WAV
3. Re-import the first file</t>
  </si>
  <si>
    <t>The edit to the first file was written before the switch; the value is present on re-import.</t>
  </si>
  <si>
    <t>Pending edits flushed on quit</t>
  </si>
  <si>
    <t>Quitting drains pending tag writes before the app exits</t>
  </si>
  <si>
    <t>1. Type a new value into Comment
2. Quit the app (Cmd+Q / Alt+F4) without clicking away first
3. Relaunch and import the same file</t>
  </si>
  <si>
    <t>The app finishes writing before exiting; the value is present after relaunch. The app does not hang on quit.</t>
  </si>
  <si>
    <t>Audio preserved when tags are written</t>
  </si>
  <si>
    <t>Writing tags must not damage the audio data</t>
  </si>
  <si>
    <t>A tagged WAV imported</t>
  </si>
  <si>
    <t>1. Note duration, sample rate and channels
2. Edit any tag and let it save
3. Re-import the file and play it in full</t>
  </si>
  <si>
    <t>The audio still plays correctly for its full length and duration / sample rate / channels are unchanged. Only the tags differ.</t>
  </si>
  <si>
    <t>Protection strength slider</t>
  </si>
  <si>
    <t>Set the perturbation strength before processing</t>
  </si>
  <si>
    <t>Analyze screen with a file loaded, no processing mode ticked</t>
  </si>
  <si>
    <t>1. Drag the Protection slider from left to right
2. Read the percentage readout</t>
  </si>
  <si>
    <t>The readout follows the slider from 0% to 100% in 1% steps and matches the handle position.</t>
  </si>
  <si>
    <t>Strength stacks perturbation modes</t>
  </si>
  <si>
    <t>The strength value decides which perturbation modes get applied</t>
  </si>
  <si>
    <t>A WAV imported, no mode ticked</t>
  </si>
  <si>
    <t>1. Set the strength to 10% and click Process
2. Restart and repeat at 40%, then 60%, then 90%
3. Listen to each result on the Compare screen</t>
  </si>
  <si>
    <t>Every run completes and produces a processed file. Higher strength stacks more modes (white noise, then phase distortion, then spectral gate, then pink noise) and the effect on the audio grows accordingly.</t>
  </si>
  <si>
    <t>Manual processing mode selection</t>
  </si>
  <si>
    <t>Choose the perturbation strategies explicitly instead of using the slider</t>
  </si>
  <si>
    <t>Analyze screen with a file loaded</t>
  </si>
  <si>
    <t>1. Open the "Processing modes" dropdown
2. Tick White Noise and Phase Distortion
3. Click Process</t>
  </si>
  <si>
    <t>The dropdown label lists the ticked modes, processing runs with exactly those modes and the Compare screen opens.</t>
  </si>
  <si>
    <t>Modes and slider are mutually exclusive</t>
  </si>
  <si>
    <t>The two protection controls cannot both be active</t>
  </si>
  <si>
    <t>1. Tick any processing mode
2. Try to move the strength slider
3. Untick every mode</t>
  </si>
  <si>
    <t>With at least one mode ticked the slider is disabled and the helper text says so. Unticking every mode re-enables the slider.</t>
  </si>
  <si>
    <t>Protection strength at 0%</t>
  </si>
  <si>
    <t>Check what the app actually does when protection is set to zero</t>
  </si>
  <si>
    <t>A WAV imported, no processing mode ticked</t>
  </si>
  <si>
    <t>1. Set the strength slider to 0%
2. Leave every mode unticked
3. Click Process
4. A/B listen on the Compare screen and compare the two waveforms</t>
  </si>
  <si>
    <t>Processing completes without error. A 0% setting should mean an untouched pass-through; in this build the app sends no options at 0%, so the core falls back to its own defaults (white noise at strength 0.5) and the output is audibly and visibly modified. Mark non-compliant if you hear or see a difference.</t>
  </si>
  <si>
    <t>Process a file</t>
  </si>
  <si>
    <t>Run the core pipeline on the imported WAV</t>
  </si>
  <si>
    <t>A WAV imported, a strength or a set of modes chosen</t>
  </si>
  <si>
    <t>1. Click Process
2. Wait for the run to finish</t>
  </si>
  <si>
    <t>A loading screen with a spinner and progress bar appears, then the Compare screen opens with the original and the processed file both loaded.</t>
  </si>
  <si>
    <t>Header shown only on the Upload screen</t>
  </si>
  <si>
    <t>The intro header makes way for the working screens</t>
  </si>
  <si>
    <t>App running</t>
  </si>
  <si>
    <t>1. Look at the header on Upload
2. Import a file
3. Process it
4. Click Restart</t>
  </si>
  <si>
    <t>Title and tagline show on Upload, are hidden on Analyze, Processing and Compare, and reappear after Restart.</t>
  </si>
  <si>
    <t>Processing failure is reported</t>
  </si>
  <si>
    <t>A failed run returns the tester to Analyze with a readable message</t>
  </si>
  <si>
    <t>atp_corrupt.wav imported</t>
  </si>
  <si>
    <t>1. Click Process
2. Wait</t>
  </si>
  <si>
    <t>The app returns to the Analyze screen without crashing, but there is no visible error [KNOWN DEFECT]. The failure message ("Failed to read audio data") only reaches the main-process terminal, so it appears when the app is launched from a terminal, but once the app is packaged it is not visible anywhere. There is no error component in the interface (no toast, banner or snackbar), so the tester sees a silent return to Analyze with no indication the file was corrupt.</t>
  </si>
  <si>
    <t>Restart during processing</t>
  </si>
  <si>
    <t>The Restart button abandons an in-flight run cleanly</t>
  </si>
  <si>
    <t>atp_fulltrack.wav imported (long enough to catch the loading screen)</t>
  </si>
  <si>
    <t>1. Click Process
2. While the spinner is showing, click the Restart button (top right)
3. Wait 30 seconds</t>
  </si>
  <si>
    <t>The app returns to the Upload screen immediately and the late result is discarded - the Compare screen never appears afterwards.</t>
  </si>
  <si>
    <t>Processing time on a real track</t>
  </si>
  <si>
    <t>Check that processing a full-length track stays workable</t>
  </si>
  <si>
    <t>atp_fulltrack.wav (3–4 min, 44.1 kHz stereo)</t>
  </si>
  <si>
    <t>1. Import the track
2. Set the strength to 50%
3. Click Process and time the run
4. Try moving the window while it runs</t>
  </si>
  <si>
    <t>Processing finishes and the window stays responsive throughout (no beachball / "not responding"). Note the measured time in Feedback.</t>
  </si>
  <si>
    <t>Original vs processed technical info</t>
  </si>
  <si>
    <t>The processed file must keep the original audio format</t>
  </si>
  <si>
    <t>A run completed (Compare screen)</t>
  </si>
  <si>
    <t>1. Read the Original info panel
2. Read the Processed info panel
3. Compare them field by field</t>
  </si>
  <si>
    <t>Duration, sample rate and channel count are identical on both sides; only the file name differs. Note: the app does not display bit depth, and the core always writes 16-bit PCM output.</t>
  </si>
  <si>
    <t>Two independent waveform players</t>
  </si>
  <si>
    <t>A/B listen to the original and the processed file</t>
  </si>
  <si>
    <t>Compare screen</t>
  </si>
  <si>
    <t>1. Play the original
2. Play the processed file
3. Seek in each of them</t>
  </si>
  <si>
    <t>Both players work independently, each shows its own waveform, and seeking in one does not affect the other.</t>
  </si>
  <si>
    <t>The perturbation is inaudible</t>
  </si>
  <si>
    <t>The protection must not be audible on a normal listen; this is the core product claim. This ATP cycle tests the released core build (the pre mask-aware engine): it injects flat white noise behind an 8 kHz high-pass plus a fixed 0.8 gain, so this run re-baselines what that build actually sounds like on the three reference tracks and the tester's own library.</t>
  </si>
  <si>
    <t>atp_fulltrack.wav, atp_track_c.wav and atp_track_d.wav each processed at 50% strength; headphones; the Compare screen is used for A/B switching</t>
  </si>
  <si>
    <t>1. Process atp_fulltrack.wav at 50% and A/B the same passage, switching back and forth on the Compare screen
2. Repeat on atp_track_c.wav (quiet and sparse, least masking headroom)
3. Repeat on atp_track_d.wav (loud dense master)
4. Repeat one of them at 100% strength (further modes stack as strength rises)
5. Finally, repeat on two or three tracks from the tester's own music library</t>
  </si>
  <si>
    <t>Expected at 50% strength on this pre mask-aware core: no added hiss, artefact or distortion beyond the known character of this build. Watch atp_track_c.wav in particular - the quiet-and-sparse case has the least masking headroom and is the one most likely to reveal the flat noise; a faint added breath/hiss on that track is expected and should be noted, not treated as corruption. At 100% strength the additional modes stack (phase distortion, then spectral gate, then pink noise), so expect a more coloured result and say in Feedback whether you can still pick the processed file reliably. Every case comes out slightly quieter: this build applies a fixed 0.8 linear gain (about -1.9 dB) that the UI cannot change, so a level difference alone is not an artefact. No loudness normalisation or limiter is in this build yet, so on atp_track_d.wav compare at a matched, comfortable level. Say which track you heard anything on, and at which strength.</t>
  </si>
  <si>
    <t>Waveforms are visibly comparable</t>
  </si>
  <si>
    <t>The processed waveform should track the original</t>
  </si>
  <si>
    <t>1. Compare the two waveform shapes side by side</t>
  </si>
  <si>
    <t>The processed waveform has the same overall shape as the original but a visibly lower amplitude (≈80% of it) - that is the fixed gain stage, not a fault. No clipping, no silence, no change in shape or length.</t>
  </si>
  <si>
    <t>Edited tags carried into the output</t>
  </si>
  <si>
    <t>Metadata entered before processing ends up in the processed file</t>
  </si>
  <si>
    <t>Tags edited on the Analyze screen before processing</t>
  </si>
  <si>
    <t>1. Edit Title and Artist
2. Process
3. Export the result
4. Import the exported file back into Dissonance</t>
  </si>
  <si>
    <t>The exported file carries the edited Title and Artist.</t>
  </si>
  <si>
    <t>Export the processed file</t>
  </si>
  <si>
    <t>Save the protected file to a chosen location</t>
  </si>
  <si>
    <t>1. Click Export
2. Choose a destination folder and file name
3. Confirm</t>
  </si>
  <si>
    <t>The file is written to the chosen location and the app returns to the Upload screen, ready for the next file.</t>
  </si>
  <si>
    <t>Cancel the export</t>
  </si>
  <si>
    <t>Cancelling the save dialog keeps the result available</t>
  </si>
  <si>
    <t>1. Click Export
2. Cancel the save dialog</t>
  </si>
  <si>
    <t>No file is written, the app stays on Compare and Export can be clicked again.</t>
  </si>
  <si>
    <t>Exported file plays in other software</t>
  </si>
  <si>
    <t>The output must be a valid WAV for the rest of the world</t>
  </si>
  <si>
    <t>A file exported</t>
  </si>
  <si>
    <t>1. Open the exported file in a media player or a DAW
2. Play it from start to end
3. Check its properties</t>
  </si>
  <si>
    <t>The file opens and plays normally at full length, with the same duration, sample rate and channel count as the original.</t>
  </si>
  <si>
    <t>The original file is never overwritten</t>
  </si>
  <si>
    <t>Processing must not touch the tester's source file</t>
  </si>
  <si>
    <t>A copy of the original WAV kept aside</t>
  </si>
  <si>
    <t>1. Note the original's size and modification date
2. Import, process and export it
3. Re-check the original and play it</t>
  </si>
  <si>
    <t>The original audio is unchanged and still plays. Only its tags change, and only if the tester edited them. The processed audio is written to the export destination only.</t>
  </si>
  <si>
    <t>Temporary files are cleaned up</t>
  </si>
  <si>
    <t>The app must not leave processed audio behind on disk</t>
  </si>
  <si>
    <t>A run completed and exported</t>
  </si>
  <si>
    <t>1. Process and export a file
2. Quit the app
3. Look for a "dissonance" folder in the system temp directory</t>
  </si>
  <si>
    <t>Temporary processed files are removed after export and at quit - the folder is empty or absent.</t>
  </si>
  <si>
    <t>Restart button</t>
  </si>
  <si>
    <t>Return to the start of the flow from any screen</t>
  </si>
  <si>
    <t>1. Click the Restart button (top right) from the Analyze screen
2. Import and process a file, then click Restart from the Compare screen</t>
  </si>
  <si>
    <t>In both cases the app returns to the Upload screen with the previous file, result and metadata cleared.</t>
  </si>
  <si>
    <t>Light and dark theme follow the OS</t>
  </si>
  <si>
    <t>The app matches the system appearance</t>
  </si>
  <si>
    <t>1. Switch the OS between light and dark mode on each screen (Upload, Analyze, Compare)</t>
  </si>
  <si>
    <t>The interface switches theme without restarting the app, and every label, field and button stays readable in both themes.</t>
  </si>
  <si>
    <t>Window resizing</t>
  </si>
  <si>
    <t>The layout survives resizing</t>
  </si>
  <si>
    <t>1. Resize the window from small to full screen on the Analyze screen
2. Do the same on the Compare screen</t>
  </si>
  <si>
    <t>Panels reflow (two columns become one at narrow widths), nothing overlaps or is clipped, and every control stays reachable.</t>
  </si>
  <si>
    <t>F46</t>
  </si>
  <si>
    <t>Quit and relaunch</t>
  </si>
  <si>
    <t>Clean shutdown and restart</t>
  </si>
  <si>
    <t>App running with a file loaded</t>
  </si>
  <si>
    <t>1. Quit the app
2. Relaunch it</t>
  </si>
  <si>
    <t>The app exits without hanging and reopens on the Upload screen with no leftover state from the previous session.</t>
  </si>
  <si>
    <t>F47</t>
  </si>
  <si>
    <t>Second launch and multiple windows</t>
  </si>
  <si>
    <t>Establish how the app behaves when it is launched twice</t>
  </si>
  <si>
    <t>App already running with a file imported</t>
  </si>
  <si>
    <t>1. Launch Dissonance a second time while the first window is open
2. Import the SAME WAV in both windows
3. Edit a different tag in each window and let both save
4. Re-import the file</t>
  </si>
  <si>
    <t>This build has no single-instance lock, so a second window is expected to open. Both windows must stay usable, and the tag writes from the two windows must not corrupt the file: it still plays and holds one coherent set of tags. Mark non-compliant on any crash, unplayable file, or lost audio.</t>
  </si>
  <si>
    <t>F48</t>
  </si>
  <si>
    <t>24-bit WAV input (both header types)</t>
  </si>
  <si>
    <t>Check the app handles 24-bit WAVs, in both header forms a real export produces</t>
  </si>
  <si>
    <t>atp_24bit.wav and atp_24bit_ext.wav on disk; a DAW or audio tool that reports bit depth</t>
  </si>
  <si>
    <t>1. Import atp_24bit.wav (plain PCM header)
2. Read the Duration / Sample rate / Channels row and the Metadata panel
3. Process, export, and check the exported file's bit depth in a DAW
4. Now import atp_24bit_ext.wav (WAVE_FORMAT_EXTENSIBLE header)
5. Read the same fields again</t>
  </si>
  <si>
    <t>Both files should import and process. atp_24bit.wav is expected to work: the exported file is valid and plays, but is written as 16-bit PCM - record the bit-depth reduction in Feedback. KNOWN DEFECT on atp_24bit_ext.wav: the parser accepts only audioFormat 1 (PCM) and 3 (float) and rejects 65534, so the info row and every metadata field show "-" with no error message shown to the user. Confirm you see that, then report what happens when you click Process. Most 24-bit DAW exports use this header, so this affects real files.</t>
  </si>
  <si>
    <t>F49</t>
  </si>
  <si>
    <t>Run a protection check on a processed file</t>
  </si>
  <si>
    <t>Measure, inside the app, whether the protection actually worked on this track</t>
  </si>
  <si>
    <t>NOT TESTABLE THIS CYCLE - the verification engine is not in the app yet. A file processed and sitting on the Compare screen</t>
  </si>
  <si>
    <t>1. Process a track
2. On Compare, start the protection check
3. Wait for it to finish</t>
  </si>
  <si>
    <t>The check runs on the original/processed pair without leaving the app, shows progress while it works, and ends on a report screen. The app stays responsive throughout.</t>
  </si>
  <si>
    <t>Feature not testable</t>
  </si>
  <si>
    <t>F50</t>
  </si>
  <si>
    <t>Human audibility score (SNR)</t>
  </si>
  <si>
    <t>Report how audible the perturbation is to a human listener</t>
  </si>
  <si>
    <t>NOT TESTABLE THIS CYCLE - the verification engine is not in the app yet. A protection check completed</t>
  </si>
  <si>
    <t>1. Read the SNR figure in the report
2. Re-run at a low and a high protection strength and compare</t>
  </si>
  <si>
    <t>SNR is reported in dB against the published thresholds: ≥ 30 dB imperceptible, 20–30 dB borderline, &lt; 20 dB clearly audible. Higher protection strength lowers the SNR.</t>
  </si>
  <si>
    <t>F51</t>
  </si>
  <si>
    <t>Lyrics confusion (speech transcription)</t>
  </si>
  <si>
    <t>Report whether a transcription model reads different words off the protected file</t>
  </si>
  <si>
    <t>NOT TESTABLE THIS CYCLE - the verification engine is not in the app yet. A protection check completed on a track with vocals</t>
  </si>
  <si>
    <t>1. Read the lyrics section of the report
2. Compare the original and perturbed transcriptions shown side by side</t>
  </si>
  <si>
    <t>Both transcriptions are shown with a confusion score in %. ≥ 50% word divergence counts as success. A track with no vocals is reported as not applicable rather than as a failure.</t>
  </si>
  <si>
    <t>F52</t>
  </si>
  <si>
    <t>Genre and encoder confusion</t>
  </si>
  <si>
    <t>Report whether music-understanding models see a different track after protection</t>
  </si>
  <si>
    <t>1. Read the genre label before and after
2. Read the encoder confusion score</t>
  </si>
  <si>
    <t>The top genre label is shown for both files with whether it changed, plus an encoder confusion score in %. ≥ 30% counts as success.</t>
  </si>
  <si>
    <t>F53</t>
  </si>
  <si>
    <t>Overall verdict</t>
  </si>
  <si>
    <t>Give a single, readable answer to "is this track protected?"</t>
  </si>
  <si>
    <t>1. Read the summary at the top of the report
2. Run the check again on an unprocessed file (same file twice)</t>
  </si>
  <si>
    <t>The report leads with a pass/fail verdict and a count of metrics passed. Protection only passes when it is inaudible AND confuses the models. The same file twice yields no confusion and an explicit fail.</t>
  </si>
  <si>
    <t>F54</t>
  </si>
  <si>
    <t>Export the verification report</t>
  </si>
  <si>
    <t>Keep the evidence outside the app</t>
  </si>
  <si>
    <t>1. Export the report
2. Open the exported file</t>
  </si>
  <si>
    <t>The report is written to a chosen location in a readable, machine-parsable form, carrying the file names, the scores, the thresholds used and the model versions.</t>
  </si>
  <si>
    <t>F55</t>
  </si>
  <si>
    <t>First run: model download and offline behaviour</t>
  </si>
  <si>
    <t>Establish what the check needs from the network, and what happens without it</t>
  </si>
  <si>
    <t>NOT TESTABLE THIS CYCLE - the verification engine is not in the app yet. A machine that has never run the check</t>
  </si>
  <si>
    <t>1. Start a protection check on a fresh install and watch for any download
2. Repeat with the machine offline
3. Re-run once the models are cached</t>
  </si>
  <si>
    <t>The app states up front what it needs to download and how large it is (the reference models total roughly 3.3 GB) and asks before doing it. Offline, the check fails with a clear explanation instead of hanging, and protection and export keep working. Later runs use the cache and need no network. NOTE: this is the only part of Dissonance that would touch the network - the privacy claim on the Info tab must be reworded if it ships.</t>
  </si>
  <si>
    <t>F56</t>
  </si>
  <si>
    <t>Hardware limits and graceful degradation</t>
  </si>
  <si>
    <t>The check must not break the app on machines that cannot run the models</t>
  </si>
  <si>
    <t>NOT TESTABLE THIS CYCLE - the verification engine is not in the app yet. A low-RAM machine, and a non-Apple-Silicon machine</t>
  </si>
  <si>
    <t>1. Start a protection check on each machine
2. Watch memory use and the app's responsiveness</t>
  </si>
  <si>
    <t>On a machine that cannot run the models the app says so plainly and stays usable - protection and export still work. It does not freeze, exhaust memory or crash. Record the machine and the outcome in Feedback.</t>
  </si>
  <si>
    <t>Install and start Horus from the archive</t>
  </si>
  <si>
    <t>A tester installs Horus by extracting the archive and double-clicking one file, with no terminal, no clone and no manual editing, and ends up on the login screen</t>
  </si>
  <si>
    <t>Docker Desktop installed AND RUNNING; Python 3.11+; free disk of 150 GB for a CPU install or 125 GB for GPU; Horus-Beta-0.1.0.zip downloaded from the OneDrive link on the Info &amp; Access tab. The disk figures are measured build PEAKS. The install settles to about 130 GB (CPU) or 110 GB (GPU) afterwards. Download is about 25 GB. No NVIDIA GPU is required: the installer detects the hardware and selects a CPU profile itself.</t>
  </si>
  <si>
    <t>1. Extract the WHOLE archive to a folder
2. Read README-FIRST.txt (40 lines, plain text)
3. Run the launcher for your platform: Windows double-click START-HERE-Windows.bat; macOS right-click START-HERE-macOS.command and choose Open; Linux ./START-HERE-Linux.sh
4. Choose a file-access option when asked (option 1 uses the bundled sample documents), then confirm
5. Wait. The first run builds the images, then downloads the model weights. Allow 1.5-2 hours. The installer prints progress and is not frozen. Later starts take about 90 s.
6. When it reports success, open http://localhost:3000 in a browser</t>
  </si>
  <si>
    <t>The installer runs its preflight checks (Python, Docker, Compose, free disk, network, ports), probes the hardware, chooses a profile, builds and starts the stack, and finishes with a 9-step smoke test. On failure it gives a distinct exit code and an actionable message, plus install-log.txt and horus-profile.json to send back. http://localhost:3000 shows the Horus login screen. With an NVIDIA GPU: 12 services are Up, 5 of them health-checked and healthy (mas, postgres, redis, rabbitmq, vllm). Without a GPU: the installer prints a warning up front, selects the CPU profile, and 11 services are Up with 4 healthy. The install still completes and reports success. Only F18, F19 and F20 are out of reach on a CPU install; record those as NOT APPLICABLE. vllm downloads its model last, so it is the last to go healthy. Allow extra time.</t>
  </si>
  <si>
    <t>Open Horus as a desktop application</t>
  </si>
  <si>
    <t>After installing, the tester opens an application window rather than being told to visit localhost:3000, and the application manages the stack for them</t>
  </si>
  <si>
    <t>F1 passed</t>
  </si>
  <si>
    <t>1. Open the app: Windows app/Horus.exe / macOS app/Horus.app / Linux install app/Horus_0.1.0_amd64.deb then launch Horus
2. Accept the unsigned-binary warning (Windows: More info then Run anyway; macOS: right-click then Open, twice)
3. Watch the status screen while the stack starts
4. Use the Horus menu: Stop, Restart, Open install-log.txt, Open horus-profile.json
5. Close the window and answer the shutdown prompt</t>
  </si>
  <si>
    <t>A native window titled Horus opens, with the Horus icon and no browser chrome. A status screen shows: the current step one row per service with its health elapsed time the raw Docker output on demand When the stack is ready the window is replaced by the Horus client loaded from http://localhost:3000, so the session token is preserved. Reachable from both the native menu and the status window: Stop, Restart, Open install-log.txt, Open horus-profile.json Closing asks whether to leave the stack running, and remembers the answer. localhost:3000 in a browser remains a supported fallback.</t>
  </si>
  <si>
    <t>Sign in with the seeded administrator</t>
  </si>
  <si>
    <t>Sign in with the administrator account that MAS creates automatically at startup. The tester does not create it.</t>
  </si>
  <si>
    <t>1. Go to http://localhost:3000/auth/login
2. Username: admin
3. Password: admin
4. Submit</t>
  </si>
  <si>
    <t>Login succeeds and the dashboard loads with the Admin section visible. This account already exists: MAS seeds it at startup. Registering a new account never grants admin, whatever the creation order.</t>
  </si>
  <si>
    <t>Manage users as an admin (view, create, change role, delete)</t>
  </si>
  <si>
    <t>An admin sees every account, creates the team accounts, changes a role and sees it take effect at once, and removes an account so that it really loses access</t>
  </si>
  <si>
    <t>Signed in as the seeded administrator (F3)</t>
  </si>
  <si>
    <t>1. Go to /admin/users. The table lists every account with its role; the search field and the role filter narrow it.
2. Click Create New User. Username horus.admin, password HorusATP2026!, role admin. Submit.
3. Repeat for horus.manager (manager), horus.user (user) and horus.user2 (user).
4. Click Edit User Role on horus.user2, select manager, save.
5. In a private window, log in as horus.user2 and open /tasks.
6. Back as admin, set horus.user2 to user again; in the private window, reload /tasks.
7. Create horus.disposable / HorusATP2026! with the user role, and log in as it in a second private window; leave that window open.
8. Back as admin, click Delete User on horus.disposable and confirm in the dialog. Reload the page.
9. Try to log in as horus.disposable again. In the window from step 7, reload /dashboard.</t>
  </si>
  <si>
    <t>Steps 1-3: every account is listed with its username and role. New accounts appear immediately with the role chosen, and each can log in. Steps 4-6: as manager, horus.user2 can view the task queue; back as user, the manager-only actions are no longer available. No restart is needed. Steps 8-9: a confirmation dialog is shown first, then horus.disposable disappears from the table. Login is refused, and the still-open session can no longer load protected data.</t>
  </si>
  <si>
    <t>Register a standard account</t>
  </si>
  <si>
    <t>A newcomer can self-register, receives the default user role, and the password policy holds</t>
  </si>
  <si>
    <t>1. Go to /auth/register
2. First try the password horus (too short, no digit or symbol)
3. Then register horus.user / HorusATP2026!
4. Log in</t>
  </si>
  <si>
    <t>The weak password is refused with a readable message: at least 10 characters with an uppercase, a lowercase, a digit and a special character. The same rule applies on the sign-up form, in the Admin &gt; Users panel and on the MAS server, which returns a 422 the web client displays. The valid registration creates an account with the user role, and the Admin section is NOT visible for it.</t>
  </si>
  <si>
    <t>Log in</t>
  </si>
  <si>
    <t>Sign in with an existing account and reach the dashboard</t>
  </si>
  <si>
    <t>An existing account</t>
  </si>
  <si>
    <t>1. Go to /auth/login
2. Enter username and password
3. Submit</t>
  </si>
  <si>
    <t>Login succeeds within 2 s and the user lands on the dashboard.</t>
  </si>
  <si>
    <t>Log out</t>
  </si>
  <si>
    <t>End the session and invalidate the token</t>
  </si>
  <si>
    <t>Stack running, tester logged in to the web client</t>
  </si>
  <si>
    <t>1. Click the account menu
2. Click Log out
3. Try to navigate back to /dashboard using the browser back button</t>
  </si>
  <si>
    <t>The user returns to the login page and the back button does not restore an authenticated view.</t>
  </si>
  <si>
    <t>Register an agent</t>
  </si>
  <si>
    <t>An admin can add a specialised agent and receive its API key</t>
  </si>
  <si>
    <t>Logged in as horus.admin</t>
  </si>
  <si>
    <t>1. Go to /admin/agents
2. Click Register New Agent
3. Name: FinCorp-Analyst
4. Description: Financial analyst agent
5. Skills: financial_analysis, compliance, reporting, document_qa
6. Submit
7. Copy the generated API key</t>
  </si>
  <si>
    <t>The agent is created, an API key is returned exactly once and is displayed to the admin, and the agent appears in the registry.</t>
  </si>
  <si>
    <t>View the agent registry</t>
  </si>
  <si>
    <t>Any authenticated user can see which agents exist and whether they are up</t>
  </si>
  <si>
    <t>F8 passed</t>
  </si>
  <si>
    <t>1. Go to /dashboard
2. Read the agents list
3. Repeat while logged in as horus.user</t>
  </si>
  <si>
    <t>FinCorp-Analyst is listed with its skills and an online status, for the admin and for the standard user alike.</t>
  </si>
  <si>
    <t>View agent details</t>
  </si>
  <si>
    <t>See one agent's full record from the admin agents page</t>
  </si>
  <si>
    <t>F8 passed; signed in as horus.admin</t>
  </si>
  <si>
    <t>1. Go to http://localhost:3000/admin/agents
2. Click FinCorp-Analyst in the list to open its details
3. Compare what is shown with the agent card on /dashboard</t>
  </si>
  <si>
    <t>The detail view shows the agent's id, name, description, skills and current status, and it matches what the dashboard shows for the same agent.</t>
  </si>
  <si>
    <t>Unregister an agent</t>
  </si>
  <si>
    <t>An admin can remove an agent from the registry</t>
  </si>
  <si>
    <t>F8 passed, logged in as horus.admin</t>
  </si>
  <si>
    <t>1. Go to /admin/agents
2. Unregister FinCorp-Analyst
3. Confirm
4. Reload /dashboard
5. Register FinCorp-Analyst again, so later scenarios still have it</t>
  </si>
  <si>
    <t>The agent disappears from the registry and no new task is routed to it. After step 5 it is back and routable.</t>
  </si>
  <si>
    <t>Upload documents</t>
  </si>
  <si>
    <t>Load the company documents into the knowledge store and see them analysed automatically</t>
  </si>
  <si>
    <t>1. F1 passed, stack running 2. Tester logged in to the web client 3. The 5 corpus documents to hand: horus/demo_assets/ inside the extracted archive. No repository access is needed - they ship in the ZIP. Accepted file types: PDF, Markdown (.md), Excel (.xlsx), plain text and configuration files (for example .env), and images (.jpeg, .png). Most common formats are accepted. The five sample files are .md.</t>
  </si>
  <si>
    <t>1. Go to /knowledge-store
2. Click Upload Files
3. Select all 5 .md files from horus/demo_assets/ in the folder you extracted
4. Confirm the upload
5. Wait for processing to finish
6. Click each document to open its detail panel</t>
  </si>
  <si>
    <t>All 5 documents are ingested, each in under 20 s. The document list shows every one of them with its category, and the Documents Stored and Storage Used tiles match the number uploaded. Without any manual tagging, each document's detail panel shows an auto-detected category (Finance, HR, Compliance, IT), a short summary, and extracted entities: people, amounts and dates. The expected category and entities per file are listed on the Info &amp; Access tab under Test corpus.</t>
  </si>
  <si>
    <t>Search the documents</t>
  </si>
  <si>
    <t>Find relevant excerpts by typing a query, then narrow them by category</t>
  </si>
  <si>
    <t>F12 passed</t>
  </si>
  <si>
    <t>1. On /knowledge-store, type Q4 revenue in the search field
2. Apply the category filter Finance</t>
  </si>
  <si>
    <t>Results come back in under 3 s, ranked, with a readable text excerpt per hit. The category filter removes non-Finance documents.</t>
  </si>
  <si>
    <t>No result come back</t>
  </si>
  <si>
    <t>List categories</t>
  </si>
  <si>
    <t>See the categories the pipeline assigned on its own, as offered in the knowledge store's filter</t>
  </si>
  <si>
    <t>1. On /knowledge-store, open the category filter
2. Compare the list it offers with the category shown on each document in the list</t>
  </si>
  <si>
    <t>The filter offers exactly the categories that were assigned to the uploaded documents, with no duplicates and no empty entries.</t>
  </si>
  <si>
    <t>No catecory filter</t>
  </si>
  <si>
    <t>Delete a document</t>
  </si>
  <si>
    <t>A user can remove a document, and the removal reaches search and chat, not only the list</t>
  </si>
  <si>
    <t>1. Go to /knowledge-store
2. Delete 5_IT_Security_Policy.md
3. Confirm
4. Reload the page
5. Search the corpus for a phrase that only existed in that document
6. Ask the same thing in a chat conversation</t>
  </si>
  <si>
    <t>Steps 1-4: the document leaves the list and the Total Documents counter drops by one. Steps 5-6: no excerpt from the deleted document is returned and the agent no longer cites it. No phantom results.</t>
  </si>
  <si>
    <t>Create a conversation</t>
  </si>
  <si>
    <t>A user can open a new named conversation</t>
  </si>
  <si>
    <t>1. Go to /conversations
2. Click New conversation
3. Name it ATP-Test-01
4. Confirm</t>
  </si>
  <si>
    <t>The conversation is created and appears at the top of the list straight away.</t>
  </si>
  <si>
    <t>Send a message</t>
  </si>
  <si>
    <t>A user can post a message inside a conversation</t>
  </si>
  <si>
    <t>F16 passed; at least one agent registered (F8)</t>
  </si>
  <si>
    <t>1. Open the conversation
2. Type: What was our Q4 2025 revenue?
3. Press Enter</t>
  </si>
  <si>
    <t>The message appears in the thread in under 1 s and is attributed to the sender.</t>
  </si>
  <si>
    <t>Ask a question and receive a grounded answer</t>
  </si>
  <si>
    <t>Ask one factual question and wait for an answer drawn from the uploaded documents, with its source named</t>
  </si>
  <si>
    <t>GPU REQUIRED. On a CPU-only machine the answer does arrive - about 1-2 min on a 12-core machine, up to about 7 min on 4 cores - but digits are corrupted in the output, so the accuracy target cannot be met. A CPU tester records this as NOT APPLICABLE, not failed. F12 passed (corpus uploaded); an agent is online</t>
  </si>
  <si>
    <t>1. In a conversation, ask: What was our Q4 2025 revenue?
2. Wait for the answer</t>
  </si>
  <si>
    <t>GPU REQUIRED - see Prerequisites. The answer arrives in under 15 s, identifies Q4 2025 revenue as $4.2M, and cites 1_Q4_2025_Financial_Report.md as its source. The figure may be returned on its own (for example '$4.2M'). That is acceptable as long as the source is named, either in the message or in the sources panel beside it. Answers are cached by exact question text, so a re-test needs different wording.</t>
  </si>
  <si>
    <t>Ask a complex question spanning several documents</t>
  </si>
  <si>
    <t>Ask one question that needs two documents and wait for an answer that uses both</t>
  </si>
  <si>
    <t>GPU REQUIRED. On a CPU-only machine the answer does arrive - about 1-2 min on a 12-core machine, up to about 7 min on 4 cores - but digits are corrupted in the output, so the accuracy target cannot be met. A CPU tester records this as NOT APPLICABLE, not failed. F12 passed; an agent is online</t>
  </si>
  <si>
    <t>1. Ask: Compare our Q4 spend against what the expense policy allows and flag anything out of policy.
2. Wait for the answer</t>
  </si>
  <si>
    <t>GPU REQUIRED - see Prerequisites. The answer arrives in under 60 s and cites BOTH 1_Q4_2025_Financial_Report.md and 4_Expense_Policy.md. It must show, in the answer text: the Q4 spend figures it used the matching threshold from the expense policy a stated conclusion on whether each item is within policy A bare yes or no, or an answer citing only one document, does not pass.</t>
  </si>
  <si>
    <t>Bad reponse</t>
  </si>
  <si>
    <t>Ask a question outside the corpus</t>
  </si>
  <si>
    <t>The agent must not invent an answer it cannot ground</t>
  </si>
  <si>
    <t>1. Ask a question with no answer in the corpus, e.g. What is the capital of Peru?</t>
  </si>
  <si>
    <t>GPU REQUIRED - see Prerequisites. The agent states that the knowledge base contains nothing relevant instead of presenting an ungrounded answer as fact.</t>
  </si>
  <si>
    <t>View message history</t>
  </si>
  <si>
    <t>A conversation reopens with its full history in the right order</t>
  </si>
  <si>
    <t>F17 passed; the conversation contains at least two messages</t>
  </si>
  <si>
    <t>1. Leave the conversation
2. Reload the page
3. Reopen the same conversation</t>
  </si>
  <si>
    <t>Every message is restored in chronological order with the correct author.</t>
  </si>
  <si>
    <t>List conversations</t>
  </si>
  <si>
    <t>A user sees all of their own conversations</t>
  </si>
  <si>
    <t>F16 passed (ATP-Test-01 exists)</t>
  </si>
  <si>
    <t>1. Go to /conversations
2. Create two more conversations, named ATP-Test-02 and General-Test
3. Reload the page</t>
  </si>
  <si>
    <t>All three conversations (ATP-Test-01, ATP-Test-02, General-Test) are listed with their names, and the list survives a reload.</t>
  </si>
  <si>
    <t>Search conversations</t>
  </si>
  <si>
    <t>Find a conversation by name in a long list</t>
  </si>
  <si>
    <t>F22 passed with several conversations</t>
  </si>
  <si>
    <t>1. On /conversations, type ATP in the search field</t>
  </si>
  <si>
    <t>Only conversations whose name matches are shown; clearing the field restores the full list.</t>
  </si>
  <si>
    <t>Delete a conversation</t>
  </si>
  <si>
    <t>A user can remove a conversation they own; an admin or manager can remove any</t>
  </si>
  <si>
    <t>F16 passed; horus.user, horus.admin and horus.manager accounts exist</t>
  </si>
  <si>
    <t>1. As horus.user on /conversations, delete ATP-Test-01
2. Confirm
3. Reload the page
4. Still as horus.user, create a conversation named ATP-Moderation
5. Log in as horus.admin and delete ATP-Moderation
6. As horus.user, create ATP-Moderation-2; log in as horus.manager and delete it</t>
  </si>
  <si>
    <t>Steps 1-3: the conversation disappears from the list and its messages are gone with it. Steps 4-6: both the admin and the manager can delete a conversation they do not own, and the owner no longer sees it.</t>
  </si>
  <si>
    <t>Create a task</t>
  </si>
  <si>
    <t>A user can submit work with a demand and required skills</t>
  </si>
  <si>
    <t>An agent is registered (F8); logged in</t>
  </si>
  <si>
    <t>1. Go to /tasks/new
2. Demand: Summarise the Q4 financial report
3. Required skills: financial_analysis, document_qa
4. Submit</t>
  </si>
  <si>
    <t>The task is accepted, given an id, and appears with status pending then running.</t>
  </si>
  <si>
    <t>Blocking</t>
  </si>
  <si>
    <t>Crash and "something went wrong"</t>
  </si>
  <si>
    <t>Route a task to a matching agent</t>
  </si>
  <si>
    <t>Tasks reach an agent whose skills actually match</t>
  </si>
  <si>
    <t>F25 passed; at least two agents with different skills registered</t>
  </si>
  <si>
    <t>1. Register a second agent with unrelated skills
2. Create a task requiring financial_analysis
3. Follow the task to completion
4. Check the RabbitMQ UI at http://localhost:15672</t>
  </si>
  <si>
    <t>The task is routed to FinCorp-Analyst and not to the unrelated agent; the queue shows the message on the matching route.</t>
  </si>
  <si>
    <t>Receive a task result without refreshing</t>
  </si>
  <si>
    <t>The result is pushed to the user without a manual refresh</t>
  </si>
  <si>
    <t>F25 passed; the conversation view is open</t>
  </si>
  <si>
    <t>1. Submit a task
2. Leave the page open without refreshing
3. Wait for the agent to finish</t>
  </si>
  <si>
    <t>A task-result notification arrives over the WebSocket and the UI updates on its own; the payload matches the detail page.</t>
  </si>
  <si>
    <t>View the task list</t>
  </si>
  <si>
    <t>Browse the submitted tasks and see the state of the queue on the same page</t>
  </si>
  <si>
    <t>F25 passed; several tasks submitted, at least one completed and one cancelled (F31)</t>
  </si>
  <si>
    <t>1. Go to /tasks
2. Read the Recent tasks table
3. Read the tiles above it: Pending, Running, Completed, Failed, Cancelled and Timeout, plus Total Tasks and Success Rate</t>
  </si>
  <si>
    <t>The submitted tasks are listed with their status. The six state tiles and the two totals add up: Total Tasks equals the number of tasks listed, and each tile matches the count of tasks in that state in the table.</t>
  </si>
  <si>
    <t>The tiles and the table not add up. total tasks ashowed 10 while the recent task table listed 8</t>
  </si>
  <si>
    <t>Open a task's detail view</t>
  </si>
  <si>
    <t>Inspect one task's full record</t>
  </si>
  <si>
    <t>F25 passed</t>
  </si>
  <si>
    <t>1. On /tasks, click a task
2. Read its detail page</t>
  </si>
  <si>
    <t>The page shows the demand, required skills, assigned agent, status, timestamps and the result when the task has finished.</t>
  </si>
  <si>
    <t>Skils are not there and the created /finished  tiemestamps</t>
  </si>
  <si>
    <t>Cancel a task</t>
  </si>
  <si>
    <t>An admin can stop a task that is pending or already running, from the task's own page</t>
  </si>
  <si>
    <t>F25 passed; signed in as horus.admin</t>
  </si>
  <si>
    <t>1. On /tasks, submit a new task
2. While it is still pending or running, click it to open its page at /tasks/&lt;task id&gt;
3. Click Cancel and confirm
4. Go back to /tasks</t>
  </si>
  <si>
    <t>The task moves to Cancelled within 5 s, the Cancelled counter on /tasks increases by one, and no result is produced for it afterwards.</t>
  </si>
  <si>
    <t>Access the dashboard</t>
  </si>
  <si>
    <t>The landing view after login loads quickly and its analytics update live</t>
  </si>
  <si>
    <t>Signed in; at least one agent registered (F8)</t>
  </si>
  <si>
    <t>1. Log in and land on /dashboard
2. Reload five times and note the load time each time
3. Watch the analytics graph for about 60 s
4. In a second tab, submit a task, and keep watching the graph</t>
  </si>
  <si>
    <t>The dashboard renders in under 3 s on each of the five reloads, with the agents list and the analytics widget, and no error state. The graph refreshes about every 10 s, and the active agents, running tasks and pending tasks series move when the new task is submitted.</t>
  </si>
  <si>
    <t>Navigate with the command palette</t>
  </si>
  <si>
    <t>Reach the main sections from the keyboard</t>
  </si>
  <si>
    <t>1. Open the command palette from the navigation bar
2. Choose Go to Dashboard, then Open Chat, then Knowledge Store</t>
  </si>
  <si>
    <t>Each entry navigates to the matching page without a full page reload.</t>
  </si>
  <si>
    <t>Open the logs page</t>
  </si>
  <si>
    <t>Centralised logs are readable inside the product, without Grafana</t>
  </si>
  <si>
    <t>Logged in as horus.admin; traffic generated by earlier scenarios</t>
  </si>
  <si>
    <t>1. Go to /admin/logs
2. Filter by service (mas, agent, knowledge-store)</t>
  </si>
  <si>
    <t>Recent log lines from the selected service are shown and reflect the actions performed during this test run.</t>
  </si>
  <si>
    <t>Open the metrics page</t>
  </si>
  <si>
    <t>Service metrics are readable inside the product</t>
  </si>
  <si>
    <t>1. Go to /admin/metrics
2. Read the request-rate and latency panels
3. Cross-check with http://localhost:8000/metrics</t>
  </si>
  <si>
    <t>Metrics are displayed for the running services and are consistent with the raw Prometheus endpoint.</t>
  </si>
  <si>
    <t>Open the traces page and follow a request</t>
  </si>
  <si>
    <t>A request can be followed end to end across services</t>
  </si>
  <si>
    <t>Logged in as horus.admin; at least one chat exchange completed</t>
  </si>
  <si>
    <t>1. Go to /admin/traces
2. Open a trace for a chat request
3. Expand the spans</t>
  </si>
  <si>
    <t>The trace shows the hops across MAS, RabbitMQ, the agent and the knowledge store, with per-span timings.</t>
  </si>
  <si>
    <t>/admin/traces and opens them with a span waterfall and per-span things</t>
  </si>
  <si>
    <t>Run the web client in different browsers</t>
  </si>
  <si>
    <t>The web client behaves the same across the main browsers</t>
  </si>
  <si>
    <t>Stack running</t>
  </si>
  <si>
    <t>1. Run F6, F17, F12 and F31 in Chrome
2. Repeat in Firefox
3. Repeat in a third browser for your platform: Windows Edge macOS Safari Linux Chromium (Edge is not required)</t>
  </si>
  <si>
    <t>Login, chat, upload and dashboard behave identically in all three browsers tested, with no console errors and no broken layout. Record which third browser you used.</t>
  </si>
  <si>
    <t>tested chrome 131 and firefox 133: login chat message wieh answer document upload and dashboard all bahave the same with no console erros</t>
  </si>
  <si>
    <t>Use the interface on a small screen</t>
  </si>
  <si>
    <t>The interface stays usable on a smaller screen</t>
  </si>
  <si>
    <t>1. Open the dashboard at 1920x1080
2. Resize to 1366x768, then to a tablet width
3. Check the navigation, the chat and the knowledge store</t>
  </si>
  <si>
    <t>No horizontal scrolling of the page body, no overlapping elements, and the navigation stays reachable at every width.</t>
  </si>
  <si>
    <t>The page scrolls horizontally. Mesuared overflow</t>
  </si>
  <si>
    <t>Sign up</t>
  </si>
  <si>
    <t>Verify that a new user can register and access the dashboard.</t>
  </si>
  <si>
    <t>Application deployed and reachable (production URL or http://localhost:3000); a valid name, email and password.</t>
  </si>
  <si>
    <t>1. Open the application landing page.
2. Click "Sign up" / "Register" to reach the sign-up page (/signup).
3. Fill in the form: name, email, password.
4. Submit the form.
5. Wait for the dashboard to load.
6. Reload the page to confirm the session persists.</t>
  </si>
  <si>
    <t>The account is created, the user is logged in and redirected to the dashboard; the user's name is displayed in the header.</t>
  </si>
  <si>
    <t>Verify that an existing user can log in with valid credentials.</t>
  </si>
  <si>
    <t>A registered account (F1) and its matching credentials.</t>
  </si>
  <si>
    <t>1. Open the landing page and click "Log in".
2. Enter the account email and password.
3. Submit the form.
4. Verify redirection to the dashboard.
5. Log out and retry with an incorrect password.</t>
  </si>
  <si>
    <t>Valid credentials grant access to the dashboard; incorrect credentials show an error and deny access.</t>
  </si>
  <si>
    <t>When the password is correct, the user can access the dashboard. When the password is incorrect, a message appears saying that the credentials are invalid, the email field is cleared, and the incorrect password remains.</t>
  </si>
  <si>
    <t>Verify that the user can log out and that the session is invalidated.</t>
  </si>
  <si>
    <t>A logged-in session.</t>
  </si>
  <si>
    <t>1. Click the account/profile menu in the header.
2. Click "Log out" / "Sign out".
3. Verify redirection to the landing page.
4. Open a protected page (e.g. /dashboard/contracts) directly in a new tab.</t>
  </si>
  <si>
    <t>The user is signed out; protected pages can no longer be accessed without logging in again.</t>
  </si>
  <si>
    <t>When I log out, I am redirected to the landing page: https://fas-ai.net/. When I manually enter https://fas-ai.net/dashboard/contracts, I am redirected to https://fas-ai.net/signin instead.</t>
  </si>
  <si>
    <t>Edit account</t>
  </si>
  <si>
    <t>Verify that the user can update their display name.</t>
  </si>
  <si>
    <t>A logged-in user (F2).</t>
  </si>
  <si>
    <t>1. Open Settings &gt; General.
2. Replace the display name with a new value.
3. Click "Save".
4. Reload the page.</t>
  </si>
  <si>
    <t>The new display name is persisted and displayed after refresh (header and settings).</t>
  </si>
  <si>
    <t>When I change my name in the settings, it is saved correctly.</t>
  </si>
  <si>
    <t>Change password</t>
  </si>
  <si>
    <t>Verify that the user can change their account password.</t>
  </si>
  <si>
    <t>A logged-in user who already has a password (F1).</t>
  </si>
  <si>
    <t>1. Open Settings &gt; Security.
2. Click "Change password".
3. Enter the current and new passwords.
4. Submit and confirm success.
5. Log out and log back in with the new password.</t>
  </si>
  <si>
    <t>The password is updated; login succeeds with the new password and fails with the old one.</t>
  </si>
  <si>
    <t>When I change my password and log in again, the old password no works, but the new password works correctly.</t>
  </si>
  <si>
    <t>Set password for a guest account</t>
  </si>
  <si>
    <t>Verify that a guest user without a password can secure their account.</t>
  </si>
  <si>
    <t>A guest account created through an invitation (F10/F27), with no password set.</t>
  </si>
  <si>
    <t>1. As the guest, open Settings &gt; Security.
2. Click "Set password".
3. Choose a password and submit.
4. Log out and log back in with email + password.</t>
  </si>
  <si>
    <t>The guest gains a usable password and can sign in with email + password afterwards.</t>
  </si>
  <si>
    <t>Delete account</t>
  </si>
  <si>
    <t>Verify that deleting an account permanently removes access to the account and its data.</t>
  </si>
  <si>
    <t>A disposable account with at least one contract; logged in.</t>
  </si>
  <si>
    <t>1. Open Settings &gt; Danger Zone.
2. Type the account email in the confirmation field.
3. Confirm the deletion.
4. Verify redirection to the landing page.
5. Attempt to log in with the deleted credentials.
6. Attempt to open a previously owned contract link.</t>
  </si>
  <si>
    <t>Deletion is confirmed; the account can no longer log in; associated contracts and invites are no longer accessible.</t>
  </si>
  <si>
    <t>After deleting the account, it is no longer possible to access it. You are redirected to the landing page, and the previous contracts can no longer be viewed.</t>
  </si>
  <si>
    <t>Create call</t>
  </si>
  <si>
    <t>Verify that a user can create a new video call room.</t>
  </si>
  <si>
    <t>Logged in; microphone and camera available on the test device.</t>
  </si>
  <si>
    <t>1. On the dashboard, click "Video Calls".
2. Click "Start New Call".
3. Enter a meeting name.
4. Create the call.</t>
  </si>
  <si>
    <t>A call room is created; the user reaches the pre-join/join screen and can start audio and video.</t>
  </si>
  <si>
    <t>Invite people to call</t>
  </si>
  <si>
    <t>Verify that the creator can invite registered users and guests to a call.</t>
  </si>
  <si>
    <t>Logged in; one extra registered account (User #2); access to a second browser session.</t>
  </si>
  <si>
    <t>1. Open "Start New Call".
2. Select one registered user from the list.
3. Add a guest email address and confirm it.
4. Create the call.
5. Copy the invitation link(s) shown after creation.</t>
  </si>
  <si>
    <t>Registered and guest users both receive invitation links; each link is shareable and tied to the room.</t>
  </si>
  <si>
    <t>Join call</t>
  </si>
  <si>
    <t>Verify that an invited user or guest can join a call.</t>
  </si>
  <si>
    <t>A call created with invites (F9); an invitation link; a second browser session.</t>
  </si>
  <si>
    <t>1. Open the invitation link in an incognito / second session.
2. Follow the accept flow (guest registration or sign-in).
3. Join the call.
4. Check the participant list.</t>
  </si>
  <si>
    <t>The participant joins the room, appears in the participant list and can exchange audio/video.</t>
  </si>
  <si>
    <t>Mute audio</t>
  </si>
  <si>
    <t>Verify that muting/unmuting updates the audio state for all participants.</t>
  </si>
  <si>
    <t>Two participants in an active call (F10).</t>
  </si>
  <si>
    <t>1. Click the microphone button to mute.
2. Check the button/icon state.
3. Ask the other participant to confirm the mute indicator.
4. Click the microphone again to unmute.</t>
  </si>
  <si>
    <t>The audio is muted/unmuted instantly and the state is reflected for every participant in real time.</t>
  </si>
  <si>
    <t>Turn video on/off</t>
  </si>
  <si>
    <t>Verify that the camera can be enabled/disabled during a call.</t>
  </si>
  <si>
    <t>1. Click the camera button to disable video.
2. Check that the video tile switches to a placeholder/avatar.
3. Ask the other participant to confirm the video-off state.
4. Re-enable video.</t>
  </si>
  <si>
    <t>The video stream toggles for all participants in real time with no delay.</t>
  </si>
  <si>
    <t>Leave call</t>
  </si>
  <si>
    <t>Verify that a participant can leave a call cleanly.</t>
  </si>
  <si>
    <t>An active call with two participants (F10).</t>
  </si>
  <si>
    <t>1. Click "Leave" / the hang-up button.
2. Verify the user exits the room (redirection to dashboard/video-calls).
3. Ask the other participant to confirm the user no longer appears in the room.</t>
  </si>
  <si>
    <t>The user leaves, no ghost session remains, and the call continues for the remaining participants.</t>
  </si>
  <si>
    <t>View call transcript</t>
  </si>
  <si>
    <t>Verify that the transcription of a call is viewable.</t>
  </si>
  <si>
    <t>A call in which the transcriber was started during the session (see F15); accessible call history.</t>
  </si>
  <si>
    <t>1. Dashboard &gt; Video Calls.
2. Open the call detail page.
3. Click "Transcript".
4. Review the list of statements.</t>
  </si>
  <si>
    <t>A readable transcript is displayed, separated by participant/identity and ordered in time.</t>
  </si>
  <si>
    <t>Generate call contract (AI)</t>
  </si>
  <si>
    <t>Verify that the AI generates a contract draft from a call's transcription.</t>
  </si>
  <si>
    <t>A call room (F8); a second participant; the transcriber available in the call controls.</t>
  </si>
  <si>
    <t>1. Start (or join) a call.
2. Start the transcription from the call controls (if not already active).
3. Talk for a few moments so the transcriber captures dialogue.
4. Click "Generate contract".
5. Wait for the generation and the success notification.
6. Open Dashboard &gt; Contracts and check the new contract.</t>
  </si>
  <si>
    <t>A contract draft is generated from the call and appears in the contract list; it can be previewed and edited.</t>
  </si>
  <si>
    <t>Create contract from scratch</t>
  </si>
  <si>
    <t>Verify that a contract can be created from scratch with the builder.</t>
  </si>
  <si>
    <t>Logged in; contracts page accessible.</t>
  </si>
  <si>
    <t>1. Dashboard &gt; Contracts.
2. Click "New Contract" and open the contract builder.
3. Add a title and body content.
4. Add a few contract fields (text, signature, date).
5. Define participants.
6. Confirm / create the contract.</t>
  </si>
  <si>
    <t>The contract is created with the entered content; it appears in the contracts list and opens correctly.</t>
  </si>
  <si>
    <t>Manage contract fields in builder</t>
  </si>
  <si>
    <t>Verify that the builder allows adding and configuring fields (text, signature, date, checkbox, select, image).</t>
  </si>
  <si>
    <t>Contract builder opened (F16).</t>
  </si>
  <si>
    <t>1. Insert a text field.
2. Configure its label and set it as required.
3. Insert a signature field and a date field.
4. Insert a checkbox and a select field.
5. Insert an image field.
6. Check the live preview.</t>
  </si>
  <si>
    <t>Every field type is rendered in the preview with the correct configuration and is saved with the contract.</t>
  </si>
  <si>
    <t>Manage contract participants in builder</t>
  </si>
  <si>
    <t>Verify that participants and roles can be configured in the builder.</t>
  </si>
  <si>
    <t>Contract builder opened (F16); a second registered user.</t>
  </si>
  <si>
    <t>1. Open the participant manager.
2. Add a registered user (User #2) as a participant.
3. Assign roles and/or signing order to the fields.
4. Create the contract.
5. Open the contract's sign page to review the sequence.</t>
  </si>
  <si>
    <t>Participants and their roles are persisted and reflected in the signing flow.</t>
  </si>
  <si>
    <t>?</t>
  </si>
  <si>
    <t>Upload contract</t>
  </si>
  <si>
    <t>Verify that an existing contract file can be uploaded.</t>
  </si>
  <si>
    <t>A local contract file (PDF / DOC / DOCX / TXT); logged in.</t>
  </si>
  <si>
    <t>1. Dashboard &gt; Contracts.
2. Click "New Contract".
3. Choose "Upload Contract".
4. Select the file.
5. Submit the upload.</t>
  </si>
  <si>
    <t>A new contract is created from the file, appears in the list, and its preview renders correctly.</t>
  </si>
  <si>
    <t>View / preview contract</t>
  </si>
  <si>
    <t>Verify that a contract can be opened and previewed.</t>
  </si>
  <si>
    <t>At least one contract exists (F16/F19).</t>
  </si>
  <si>
    <t>1. Dashboard &gt; Contracts.
2. Open the contract card.
3. Wait for the preview to load.</t>
  </si>
  <si>
    <t>The contract content/preview is displayed without layout or rendering errors.</t>
  </si>
  <si>
    <t>Fill contract fields</t>
  </si>
  <si>
    <t>Verify that a participant can fill the required fields of a contract.</t>
  </si>
  <si>
    <t>A contract with fillable fields assigned to the tester (F17/F18).</t>
  </si>
  <si>
    <t>1. Open the contract.
2. Navigate to the "Fill" step.
3. Fill the text / date / select fields.
4. Save the values.
5. Refresh the page.</t>
  </si>
  <si>
    <t>The values are saved, shown in the preview, and the fields are marked as completed.</t>
  </si>
  <si>
    <t>When I click “Fill”, there is no option to fill anything. I can only click the “Done” button, and when I go back, the status remains the sam</t>
  </si>
  <si>
    <t>Sign contract</t>
  </si>
  <si>
    <t>Verify that a contract can be signed with a signature.</t>
  </si>
  <si>
    <t>A contract with a signature field assigned to the tester (F18).</t>
  </si>
  <si>
    <t>1. Open the contract's "Sign" page.
2. Click the signature field to open the signature pad.
3. Draw the signature.
4. Save it.
5. Refresh and check the field.</t>
  </si>
  <si>
    <t>The signature is recorded and displayed on the contract field.</t>
  </si>
  <si>
    <t>When I click “Sign”, there is no option to sign. I can only click the “Done” button, and when I go back, the status remains the same.</t>
  </si>
  <si>
    <t>Signing progress and turn-based signing</t>
  </si>
  <si>
    <t>Verify multi-signer, turn-based signing and progress tracking.</t>
  </si>
  <si>
    <t>A contract with two participants and a defined signing order (F18).</t>
  </si>
  <si>
    <t>1. Sign the contract as the first signer.
2. Check the signing progress indicator.
3. Confirm the next signer's turn becomes active.
4. Sign as the second signer (second session).
5. Verify the contract reaches a finalized state once all turns are completed.</t>
  </si>
  <si>
    <t>Only the current signer's fields are editable; progress updates after each signature; the contract is finalized when all signatures are done.</t>
  </si>
  <si>
    <t>Download signed contract</t>
  </si>
  <si>
    <t>Verify that the completed contract can be flattened and downloaded.</t>
  </si>
  <si>
    <t>A filled and signed contract (F22/F23).</t>
  </si>
  <si>
    <t>1. Open the contract detail page.
2. Click the "Download" / export button.
3. Check the generated file.</t>
  </si>
  <si>
    <t>A flattened PDF/HTML document is downloaded containing all filled values and signatures.</t>
  </si>
  <si>
    <t>Delete contract</t>
  </si>
  <si>
    <t>Verify that a contract can be deleted and access is revoked.</t>
  </si>
  <si>
    <t>A disposable contract (F16).</t>
  </si>
  <si>
    <t>1. Open the contract detail page.
2. Click "Delete" and confirm.
3. Verify redirection to the contracts list.
4. Confirm the contract no longer appears; try opening its direct link.</t>
  </si>
  <si>
    <t>The contract is removed from the list and its direct link is no longer accessible.</t>
  </si>
  <si>
    <t>Invite third parties to sign</t>
  </si>
  <si>
    <t>Verify that external parties can be invited to sign a contract.</t>
  </si>
  <si>
    <t>A contract with participants (F16/F18); an external email address.</t>
  </si>
  <si>
    <t>1. Add the external party (email) as a participant in the contract.
2. Share the signing/invitation link.
3. Open the link in another session.
4. Sign the contract as the third party.</t>
  </si>
  <si>
    <t>The third party accesses the contract through the link and can view and sign their assigned fields.</t>
  </si>
  <si>
    <t>I couldn't find the share button.</t>
  </si>
  <si>
    <t>Accept invitation as new/guest user</t>
  </si>
  <si>
    <t>Verify that a person without an account can accept an invitation (call or contract).</t>
  </si>
  <si>
    <t>A valid invitation link (F9/F26) opened in a fresh session.</t>
  </si>
  <si>
    <t>1. Open the invitation link in an incognito window.
2. Verify the invitation details are displayed.
3. Click "Accept" and follow the registration / sign-in flow.
4. Check redirection to the invited resource (call or contract).
5. Reopen the same link after it has been used.</t>
  </si>
  <si>
    <t>The guest lands on the invited resource; an already-used or invalid token shows a clear error message.</t>
  </si>
  <si>
    <t>Newsletter subscription</t>
  </si>
  <si>
    <t>Verify that a visitor can subscribe to the newsletter.</t>
  </si>
  <si>
    <t>Landing page reachable.</t>
  </si>
  <si>
    <t>1. Scroll to the newsletter section on the landing page.
2. Enter a name and an email.
3. Submit.
4. Check the confirmation feedback.
5. Submit the same email again.</t>
  </si>
  <si>
    <t>Subscription is confirmed; a duplicate/invalid email is handled gracefully with a message.</t>
  </si>
  <si>
    <t>I enter my email address, which I already have an account with, and it shows an “Internal Server Error”.</t>
  </si>
  <si>
    <t>AI Law Assistant</t>
  </si>
  <si>
    <t>Verify that the AI Law Assistant answers legal questions with cited sources.</t>
  </si>
  <si>
    <t>Feature deployed (Sprint 9); logged-in user; AI backend configured.</t>
  </si>
  <si>
    <t>1. Open the AI Law Assistant chat interface from the dashboard.
2. Ask a legal question.
3. Check the answer and its citations.
4. Continue the conversation.</t>
  </si>
  <si>
    <t>The assistant answers reliably and references legal sources; citations are clear; the chat history persists.</t>
  </si>
  <si>
    <t>I cant find  the AI</t>
  </si>
  <si>
    <t>Contract templates</t>
  </si>
  <si>
    <t>Verify that templates (personal, sample, community) can be used to create contracts.</t>
  </si>
  <si>
    <t>Feature deployed (Sprint 11); logged-in user.</t>
  </si>
  <si>
    <t>1. Open the templates area (personal / sample / community).
2. Browse and preview a template.
3. Create a contract from a template.
4. Save a customized version as a personal template.</t>
  </si>
  <si>
    <t>Templates are browsable and reusable; a contract is generated from them with the expected structure.</t>
  </si>
  <si>
    <t>I cant find it</t>
  </si>
  <si>
    <t>Edit contract (inputs, parties, pages)</t>
  </si>
  <si>
    <t>Verify that contracts can be edited after creation (inputs, parties, signature field, pages).</t>
  </si>
  <si>
    <t>Feature deployed (Sprint 10); an existing contract.</t>
  </si>
  <si>
    <t>1. Open a contract and enter edit mode.
2. Modify text inputs.
3. Edit a signature field.
4. Add/remove a page.
5. Edit the parties.</t>
  </si>
  <si>
    <t>The changes are saved correctly and reflected in the preview without breaking the contract.</t>
  </si>
  <si>
    <t>Preview generated contract in video call</t>
  </si>
  <si>
    <t>Verify that the contract generated from a call is previewable inside the call.</t>
  </si>
  <si>
    <t>Feature deployed (Sprint 10); a call with a generated contract (F15).</t>
  </si>
  <si>
    <t>1. Join the call where a contract was generated.
2. Open the contract preview panel.
3. Review the generated content.</t>
  </si>
  <si>
    <t>The generated contract is displayed within the call UI and can be edited and finalized.</t>
  </si>
  <si>
    <t>Sign documents without account</t>
  </si>
  <si>
    <t>Verify that a document can be signed without creating an account.</t>
  </si>
  <si>
    <t>Feature deployed (Sprint 11); a signable document shared with an external person.</t>
  </si>
  <si>
    <t>1. Open the signing link without logging in.
2. Fill the required fields.
3. Sign the document.</t>
  </si>
  <si>
    <t>The person signs without an account; the signature is recorded for the contract owner.</t>
  </si>
  <si>
    <t>I cant do that</t>
  </si>
  <si>
    <t>Multi-format contracts (DOCX / JPG / PNG)</t>
  </si>
  <si>
    <t>Verify that DOCX, JPG and PNG contract files are supported.</t>
  </si>
  <si>
    <t>Feature deployed (Sprint 12); sample files in each format.</t>
  </si>
  <si>
    <t>1. Upload a DOCX contract.
2. Upload a JPG contract.
3. Upload a PNG contract.
4. Open the preview of each.</t>
  </si>
  <si>
    <t>Each format is uploaded, rendered/previewed correctly, and can be filled and signed.</t>
  </si>
  <si>
    <t>It works</t>
  </si>
  <si>
    <t>Website internationalization</t>
  </si>
  <si>
    <t>Verify that the application UI switches language correctly.</t>
  </si>
  <si>
    <t>Feature deployed (Sprint 12); at least one other language configured.</t>
  </si>
  <si>
    <t>1. Open the language selector.
2. Switch to another language.
3. Navigate through the main pages.</t>
  </si>
  <si>
    <t>All labels and navigation are translated consistently; the choice persists across sessions.</t>
  </si>
  <si>
    <t>Signing email notifications</t>
  </si>
  <si>
    <t>Verify that signers are notified by email when an action is required.</t>
  </si>
  <si>
    <t>Feature deployed (Sprint 9); an individual email address for the invited signer.</t>
  </si>
  <si>
    <t>1. Create a contract and send an invitation to a signer.
2. Check the signer mailbox for the notification.
3. Accept and sign.
4. Check the owner mailbox for the completion notification.</t>
  </si>
  <si>
    <t>Email notifications are sent on invitation and on signature/completion.</t>
  </si>
  <si>
    <t>Auto-fill contract fields</t>
  </si>
  <si>
    <t>Verify that contract fields can be auto-filled from known user data.</t>
  </si>
  <si>
    <t>Feature deployed (Sprint 9); a logged-in user with profile data.</t>
  </si>
  <si>
    <t>1. Open a contract with expected fields.
2. Trigger auto-fill.
3. Review the filled values before saving.</t>
  </si>
  <si>
    <t>Fields are pre-filled accurately with the user's data and remain editable.</t>
  </si>
  <si>
    <t>Error handling - duplicate email on sign-up</t>
  </si>
  <si>
    <t>Verify that sign-up rejects an already registered email with a clear message.</t>
  </si>
  <si>
    <t>An existing account (F1).</t>
  </si>
  <si>
    <t>1. Go to the sign-up page.
2. Use the existing account's email.
3. Submit the form.</t>
  </si>
  <si>
    <t>No new account is created; a clear error is shown and the user can correct the input.</t>
  </si>
  <si>
    <t>Error handling - invalid credentials</t>
  </si>
  <si>
    <t>Verify that login fails gracefully with invalid credentials.</t>
  </si>
  <si>
    <t>A registered account.</t>
  </si>
  <si>
    <t>1. Go to the login page.
2. Enter a wrong password (or an unknown email).
3. Submit.</t>
  </si>
  <si>
    <t>Access is denied with a clear error message; no session is created.</t>
  </si>
  <si>
    <t>Validation - signing blocked until required fields are completed</t>
  </si>
  <si>
    <t>Verify that a contract cannot be signed while required fields are empty.</t>
  </si>
  <si>
    <t>A contract with a required text field and a signature field.</t>
  </si>
  <si>
    <t>1. Open the sign page.
2. Leave a required field empty.
3. Try to save/sign.
4. Fill the field and retry.</t>
  </si>
  <si>
    <t>The action is blocked with a clear message while required fields are empty; it succeeds once they are filled.</t>
  </si>
  <si>
    <t>Compatibility - multi-browser</t>
  </si>
  <si>
    <t>Verify that the core flows work on the main browsers.</t>
  </si>
  <si>
    <t>Chrome, Firefox, Safari and Edge available; test accounts ready.</t>
  </si>
  <si>
    <t>1. Run the sign-up, login, call and signing scenarios in Chrome.
2. Repeat in Firefox, Safari and Edge.</t>
  </si>
  <si>
    <t>Core flows behave consistently with no browser-specific breakage; the UI remains usable.</t>
  </si>
  <si>
    <t>Due to issues with my computer, I wasn't able to test it.</t>
  </si>
  <si>
    <t>Performance and stability (stress)</t>
  </si>
  <si>
    <t>Verify that the platform remains stable under load and repeated use.</t>
  </si>
  <si>
    <t>Feature deployed (Sprint 12); E2E and performance tooling (Playwright, Lighthouse).</t>
  </si>
  <si>
    <t>1. Run repeated E2E test suites.
2. Simulate concurrent calls and contract operations.
3. Measure response times and error rates.
4. Check the logs for anomalies or crashes.</t>
  </si>
  <si>
    <t>No crash or blocking anomaly; response times remain within acceptable limits compared with the baseline.</t>
  </si>
  <si>
    <t>I dont understand</t>
  </si>
  <si>
    <t>Website accessibility</t>
  </si>
  <si>
    <t>Verify basic accessibility (keyboard navigation, contrast, ARIA).</t>
  </si>
  <si>
    <t>Feature deployed (Sprint 12).</t>
  </si>
  <si>
    <t>1. Navigate the app using the keyboard only.
2. Run an automated accessibility check (axe / Lighthouse).
3. Check contrast and focus indicators on the key pages.</t>
  </si>
  <si>
    <t>Pages are navigable by keyboard, focus is visible, and no critical accessibility errors are reported.</t>
  </si>
  <si>
    <t>SEO basics</t>
  </si>
  <si>
    <t>Verify that metadata (title, description, Open Graph) is present on public pages.</t>
  </si>
  <si>
    <t>Feature deployed (Sprint 13); public pages deployed.</t>
  </si>
  <si>
    <t>1. Inspect the landing page HTML source.
2. Check the title, meta description and Open Graph tags.
3. Verify that each main route renders a relevant title.</t>
  </si>
  <si>
    <t>Public pages expose correct metadata and titles to search engines.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</si>
</sst>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Calibri"/>
      <family val="2"/>
      <scheme val="minor"/>
    </font>
    <font>
      <b/>
      <sz val="15"/>
      <color rgb="FFFFFFFF"/>
      <name val="Calibri"/>
    </font>
    <font>
      <b/>
      <sz val="12"/>
      <color rgb="FFFFFFFF"/>
      <name val="Calibri"/>
    </font>
    <font>
      <sz val="10.5"/>
      <name val="Calibri"/>
    </font>
    <font>
      <b/>
      <sz val="10"/>
      <color rgb="FF0B2545"/>
      <name val="Calibri"/>
    </font>
    <font>
      <b/>
      <sz val="10.5"/>
      <color rgb="FF04672C"/>
      <name val="Calibri"/>
    </font>
    <font>
      <sz val="10"/>
      <name val="Calibri"/>
    </font>
    <font>
      <b/>
      <sz val="10.5"/>
      <color rgb="FF8A5300"/>
      <name val="Calibri"/>
    </font>
    <font>
      <b/>
      <sz val="10.5"/>
      <color rgb="FF9C0006"/>
      <name val="Calibri"/>
    </font>
    <font>
      <b/>
      <sz val="10.5"/>
      <color rgb="FFFFFFFF"/>
      <name val="Calibri"/>
    </font>
    <font>
      <b/>
      <sz val="10.5"/>
      <color rgb="FF5A5A5A"/>
      <name val="Calibri"/>
    </font>
    <font>
      <b/>
      <sz val="10.5"/>
      <color rgb="FF8C8C8C"/>
      <name val="Calibri"/>
    </font>
    <font>
      <b/>
      <sz val="10.5"/>
      <color rgb="FF0B2545"/>
      <name val="Calibri"/>
    </font>
    <font>
      <u/>
      <sz val="9"/>
      <color rgb="FF1155CC"/>
      <name val="Calibri"/>
    </font>
    <font>
      <b/>
      <sz val="10"/>
      <name val="Calibri"/>
    </font>
    <font>
      <b/>
      <sz val="12.5"/>
      <color rgb="FFFFFFFF"/>
      <name val="Calibri"/>
    </font>
    <font>
      <b/>
      <sz val="11"/>
      <color rgb="FF0B2545"/>
      <name val="Calibri"/>
    </font>
    <font>
      <b/>
      <sz val="9.5"/>
      <name val="Calibri"/>
    </font>
    <font>
      <sz val="9.5"/>
      <name val="Calibri"/>
    </font>
    <font>
      <b/>
      <sz val="11"/>
      <color rgb="FFFFFFFF"/>
      <name val="Calibri"/>
    </font>
    <font>
      <b/>
      <sz val="14"/>
      <color rgb="FFFFFFFF"/>
      <name val="Calibri"/>
    </font>
    <font>
      <b/>
      <sz val="10"/>
      <color rgb="FFFFFFFF"/>
      <name val="Calibri"/>
    </font>
    <font>
      <b/>
      <sz val="11"/>
      <color rgb="FF9C0006"/>
      <name val="Calibri"/>
    </font>
    <font>
      <i/>
      <sz val="10"/>
      <color rgb="FF6B7A8F"/>
      <name val="Calibri"/>
    </font>
    <font>
      <b/>
      <sz val="11.5"/>
      <color rgb="FFFFFFFF"/>
      <name val="Calibri"/>
    </font>
    <font>
      <b/>
      <sz val="9"/>
      <color rgb="FF1E6B34"/>
      <name val="Calibri"/>
    </font>
    <font>
      <b/>
      <sz val="9"/>
      <color rgb="FFB35C00"/>
      <name val="Calibri"/>
    </font>
    <font>
      <b/>
      <sz val="9"/>
      <color rgb="FFB3261E"/>
      <name val="Calibri"/>
    </font>
    <font>
      <b/>
      <sz val="9.5"/>
      <color rgb="FFB3261E"/>
      <name val="Calibri"/>
    </font>
    <font>
      <b/>
      <strike/>
      <sz val="15"/>
      <color rgb="FFFFFFFF"/>
      <name val="Calibri"/>
    </font>
    <font>
      <u/>
      <sz val="11"/>
      <color theme="10"/>
      <name val="Calibri"/>
      <family val="2"/>
      <scheme val="minor"/>
    </font>
  </fonts>
  <fills count="17">
    <fill>
      <patternFill patternType="none"/>
    </fill>
    <fill>
      <patternFill patternType="gray125"/>
    </fill>
    <fill>
      <patternFill patternType="solid">
        <fgColor rgb="FF0B2545"/>
      </patternFill>
    </fill>
    <fill>
      <patternFill patternType="solid">
        <fgColor rgb="FF2C5282"/>
      </patternFill>
    </fill>
    <fill>
      <patternFill patternType="solid">
        <fgColor rgb="FFEAF1F8"/>
      </patternFill>
    </fill>
    <fill>
      <patternFill patternType="solid">
        <fgColor rgb="FFC6EFCE"/>
      </patternFill>
    </fill>
    <fill>
      <patternFill patternType="solid">
        <fgColor rgb="FFFFEB9C"/>
      </patternFill>
    </fill>
    <fill>
      <patternFill patternType="solid">
        <fgColor rgb="FFFFC7CE"/>
      </patternFill>
    </fill>
    <fill>
      <patternFill patternType="solid">
        <fgColor rgb="FFE74C3C"/>
      </patternFill>
    </fill>
    <fill>
      <patternFill patternType="solid">
        <fgColor rgb="FFDDDDDD"/>
      </patternFill>
    </fill>
    <fill>
      <patternFill patternType="solid">
        <fgColor rgb="FFF2F2F2"/>
      </patternFill>
    </fill>
    <fill>
      <patternFill patternType="solid">
        <fgColor rgb="FF1F3A5F"/>
      </patternFill>
    </fill>
    <fill>
      <patternFill patternType="solid">
        <fgColor rgb="FFF7FAFD"/>
      </patternFill>
    </fill>
    <fill>
      <patternFill patternType="solid">
        <fgColor rgb="FFE6F4EA"/>
      </patternFill>
    </fill>
    <fill>
      <patternFill patternType="solid">
        <fgColor rgb="FFFFFDF0"/>
      </patternFill>
    </fill>
    <fill>
      <patternFill patternType="solid">
        <fgColor rgb="FFFFF4E0"/>
      </patternFill>
    </fill>
    <fill>
      <patternFill patternType="solid">
        <fgColor rgb="FFFDECEA"/>
      </patternFill>
    </fill>
  </fills>
  <borders count="4">
    <border>
      <left/>
      <right/>
      <top/>
      <bottom/>
      <diagonal/>
    </border>
    <border>
      <left/>
      <right/>
      <top style="medium">
        <color rgb="FF0B2545"/>
      </top>
      <bottom/>
      <diagonal/>
    </border>
    <border>
      <left style="thin">
        <color rgb="FFB8C4D4"/>
      </left>
      <right style="thin">
        <color rgb="FFB8C4D4"/>
      </right>
      <top style="thin">
        <color rgb="FFB8C4D4"/>
      </top>
      <bottom style="thin">
        <color rgb="FFB8C4D4"/>
      </bottom>
      <diagonal/>
    </border>
    <border>
      <left/>
      <right/>
      <top style="thin">
        <color rgb="FFB8C4D4"/>
      </top>
      <bottom/>
      <diagonal/>
    </border>
  </borders>
  <cellStyleXfs count="2">
    <xf numFmtId="0" fontId="0" fillId="0" borderId="0"/>
    <xf numFmtId="0" fontId="30" fillId="0" borderId="0" applyNumberFormat="0" applyFill="0" applyBorder="0" applyAlignment="0" applyProtection="0"/>
  </cellStyleXfs>
  <cellXfs count="60">
    <xf numFmtId="0" fontId="0" fillId="0" borderId="0" xfId="0"/>
    <xf numFmtId="0" fontId="4" fillId="4" borderId="2" xfId="0" applyFont="1" applyFill="1" applyBorder="1" applyAlignment="1">
      <alignment horizontal="left" vertical="top" wrapText="1"/>
    </xf>
    <xf numFmtId="0" fontId="5" fillId="5" borderId="2" xfId="0" applyFont="1" applyFill="1" applyBorder="1" applyAlignment="1">
      <alignment horizontal="center" vertical="center"/>
    </xf>
    <xf numFmtId="0" fontId="6" fillId="0" borderId="2" xfId="0" applyFont="1" applyBorder="1" applyAlignment="1">
      <alignment horizontal="left" vertical="top" wrapText="1"/>
    </xf>
    <xf numFmtId="0" fontId="7" fillId="6" borderId="2" xfId="0" applyFont="1" applyFill="1" applyBorder="1" applyAlignment="1">
      <alignment horizontal="center" vertical="center"/>
    </xf>
    <xf numFmtId="0" fontId="8"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10" fillId="9" borderId="2" xfId="0" applyFont="1" applyFill="1" applyBorder="1" applyAlignment="1">
      <alignment horizontal="center" vertical="center"/>
    </xf>
    <xf numFmtId="0" fontId="11" fillId="10" borderId="2" xfId="0" applyFont="1" applyFill="1" applyBorder="1" applyAlignment="1">
      <alignment horizontal="center" vertical="center"/>
    </xf>
    <xf numFmtId="0" fontId="12" fillId="0" borderId="2" xfId="0" applyFont="1" applyBorder="1" applyAlignment="1">
      <alignment horizontal="left" vertical="top" wrapText="1"/>
    </xf>
    <xf numFmtId="0" fontId="13" fillId="0" borderId="2" xfId="0" applyFont="1" applyBorder="1" applyAlignment="1">
      <alignment horizontal="left" vertical="top" wrapText="1"/>
    </xf>
    <xf numFmtId="0" fontId="6" fillId="0" borderId="2" xfId="0" applyFont="1" applyBorder="1" applyAlignment="1">
      <alignment horizontal="center" vertical="top" wrapText="1"/>
    </xf>
    <xf numFmtId="0" fontId="14" fillId="0" borderId="2" xfId="0" applyFont="1" applyBorder="1" applyAlignment="1">
      <alignment horizontal="center" vertical="top"/>
    </xf>
    <xf numFmtId="0" fontId="17" fillId="0" borderId="2" xfId="0" applyFont="1" applyBorder="1" applyAlignment="1">
      <alignment horizontal="left" vertical="top" wrapText="1"/>
    </xf>
    <xf numFmtId="0" fontId="18" fillId="0" borderId="2" xfId="0" applyFont="1" applyBorder="1" applyAlignment="1">
      <alignment horizontal="left" vertical="top" wrapText="1"/>
    </xf>
    <xf numFmtId="0" fontId="21" fillId="11" borderId="2" xfId="0" applyFont="1" applyFill="1" applyBorder="1" applyAlignment="1">
      <alignment horizontal="center" vertical="center" wrapText="1"/>
    </xf>
    <xf numFmtId="0" fontId="12" fillId="0" borderId="2" xfId="0" applyFont="1" applyBorder="1" applyAlignment="1">
      <alignment horizontal="left" vertical="center"/>
    </xf>
    <xf numFmtId="0" fontId="3" fillId="0" borderId="2" xfId="0" applyFont="1" applyBorder="1" applyAlignment="1">
      <alignment horizontal="center" vertical="center"/>
    </xf>
    <xf numFmtId="0" fontId="5" fillId="0" borderId="2" xfId="0" applyFont="1" applyBorder="1" applyAlignment="1">
      <alignment horizontal="center" vertical="center"/>
    </xf>
    <xf numFmtId="0" fontId="8" fillId="0" borderId="2" xfId="0" applyFont="1" applyBorder="1" applyAlignment="1">
      <alignment horizontal="center" vertical="center"/>
    </xf>
    <xf numFmtId="9" fontId="3" fillId="0" borderId="2" xfId="0" applyNumberFormat="1" applyFont="1" applyBorder="1" applyAlignment="1">
      <alignment horizontal="center" vertical="center"/>
    </xf>
    <xf numFmtId="0" fontId="22" fillId="0" borderId="2" xfId="0" applyFont="1" applyBorder="1" applyAlignment="1">
      <alignment horizontal="center" vertical="center"/>
    </xf>
    <xf numFmtId="0" fontId="12" fillId="12" borderId="2" xfId="0" applyFont="1" applyFill="1" applyBorder="1" applyAlignment="1">
      <alignment horizontal="left" vertical="center"/>
    </xf>
    <xf numFmtId="0" fontId="3" fillId="12" borderId="2" xfId="0" applyFont="1" applyFill="1" applyBorder="1" applyAlignment="1">
      <alignment horizontal="center" vertical="center"/>
    </xf>
    <xf numFmtId="0" fontId="5" fillId="12" borderId="2" xfId="0" applyFont="1" applyFill="1" applyBorder="1" applyAlignment="1">
      <alignment horizontal="center" vertical="center"/>
    </xf>
    <xf numFmtId="0" fontId="8" fillId="12" borderId="2" xfId="0" applyFont="1" applyFill="1" applyBorder="1" applyAlignment="1">
      <alignment horizontal="center" vertical="center"/>
    </xf>
    <xf numFmtId="9" fontId="3" fillId="12" borderId="2" xfId="0" applyNumberFormat="1" applyFont="1" applyFill="1" applyBorder="1" applyAlignment="1">
      <alignment horizontal="center" vertical="center"/>
    </xf>
    <xf numFmtId="0" fontId="22" fillId="12" borderId="2" xfId="0" applyFont="1" applyFill="1" applyBorder="1" applyAlignment="1">
      <alignment horizontal="center" vertical="center"/>
    </xf>
    <xf numFmtId="0" fontId="4" fillId="0" borderId="2" xfId="0" applyFont="1" applyBorder="1" applyAlignment="1">
      <alignment horizontal="center" vertical="top" wrapText="1"/>
    </xf>
    <xf numFmtId="0" fontId="18" fillId="0" borderId="2" xfId="0" applyFont="1" applyBorder="1" applyAlignment="1">
      <alignment horizontal="center" vertical="top" wrapText="1"/>
    </xf>
    <xf numFmtId="0" fontId="25" fillId="13" borderId="2" xfId="0" applyFont="1" applyFill="1" applyBorder="1" applyAlignment="1">
      <alignment horizontal="center" vertical="top" wrapText="1"/>
    </xf>
    <xf numFmtId="0" fontId="18" fillId="14" borderId="2" xfId="0" applyFont="1" applyFill="1" applyBorder="1" applyAlignment="1">
      <alignment horizontal="center" vertical="top" wrapText="1"/>
    </xf>
    <xf numFmtId="0" fontId="18" fillId="14" borderId="2" xfId="0" applyFont="1" applyFill="1" applyBorder="1" applyAlignment="1">
      <alignment horizontal="left" vertical="top" wrapText="1"/>
    </xf>
    <xf numFmtId="0" fontId="4" fillId="12" borderId="2" xfId="0" applyFont="1" applyFill="1" applyBorder="1" applyAlignment="1">
      <alignment horizontal="center" vertical="top" wrapText="1"/>
    </xf>
    <xf numFmtId="0" fontId="18" fillId="12" borderId="2" xfId="0" applyFont="1" applyFill="1" applyBorder="1" applyAlignment="1">
      <alignment horizontal="center" vertical="top" wrapText="1"/>
    </xf>
    <xf numFmtId="0" fontId="18" fillId="12" borderId="2" xfId="0" applyFont="1" applyFill="1" applyBorder="1" applyAlignment="1">
      <alignment horizontal="left" vertical="top" wrapText="1"/>
    </xf>
    <xf numFmtId="0" fontId="26" fillId="15" borderId="2" xfId="0" applyFont="1" applyFill="1" applyBorder="1" applyAlignment="1">
      <alignment horizontal="center" vertical="top" wrapText="1"/>
    </xf>
    <xf numFmtId="0" fontId="27" fillId="16" borderId="2" xfId="0" applyFont="1" applyFill="1" applyBorder="1" applyAlignment="1">
      <alignment horizontal="center" vertical="top" wrapText="1"/>
    </xf>
    <xf numFmtId="0" fontId="28" fillId="0" borderId="2" xfId="0" applyFont="1" applyBorder="1" applyAlignment="1">
      <alignment horizontal="left" vertical="top" wrapText="1"/>
    </xf>
    <xf numFmtId="0" fontId="28" fillId="12" borderId="2" xfId="0" applyFont="1" applyFill="1" applyBorder="1" applyAlignment="1">
      <alignment horizontal="left" vertical="top" wrapText="1"/>
    </xf>
    <xf numFmtId="0" fontId="12" fillId="4" borderId="2" xfId="0" applyFont="1" applyFill="1" applyBorder="1" applyAlignment="1">
      <alignment horizontal="left" vertical="top" wrapText="1"/>
    </xf>
    <xf numFmtId="0" fontId="16" fillId="4" borderId="2" xfId="0" applyFont="1" applyFill="1" applyBorder="1" applyAlignment="1">
      <alignment horizontal="left" vertical="center"/>
    </xf>
    <xf numFmtId="0" fontId="16" fillId="4" borderId="2" xfId="0" applyFont="1" applyFill="1" applyBorder="1" applyAlignment="1">
      <alignment horizontal="center" vertical="center"/>
    </xf>
    <xf numFmtId="9" fontId="16" fillId="4" borderId="2" xfId="0" applyNumberFormat="1" applyFont="1" applyFill="1" applyBorder="1" applyAlignment="1">
      <alignment horizontal="center" vertical="center"/>
    </xf>
    <xf numFmtId="0" fontId="4" fillId="4" borderId="2" xfId="0" applyFont="1" applyFill="1" applyBorder="1" applyAlignment="1">
      <alignment horizontal="center" vertical="center" wrapText="1"/>
    </xf>
    <xf numFmtId="0" fontId="21" fillId="3" borderId="2" xfId="0" applyFont="1" applyFill="1" applyBorder="1" applyAlignment="1">
      <alignment horizontal="center" vertical="center" wrapText="1"/>
    </xf>
    <xf numFmtId="0" fontId="14" fillId="14" borderId="2" xfId="0" applyFont="1" applyFill="1" applyBorder="1" applyAlignment="1">
      <alignment horizontal="center" vertical="top" wrapText="1"/>
    </xf>
    <xf numFmtId="0" fontId="17" fillId="12" borderId="2" xfId="0" applyFont="1" applyFill="1" applyBorder="1" applyAlignment="1">
      <alignment horizontal="left" vertical="top" wrapText="1"/>
    </xf>
    <xf numFmtId="0" fontId="30" fillId="0" borderId="2" xfId="1" applyBorder="1" applyAlignment="1">
      <alignment horizontal="left" vertical="top" wrapText="1"/>
    </xf>
    <xf numFmtId="0" fontId="16" fillId="0" borderId="3" xfId="0" applyFont="1" applyBorder="1" applyAlignment="1">
      <alignment horizontal="left" wrapText="1"/>
    </xf>
    <xf numFmtId="0" fontId="19" fillId="2" borderId="1" xfId="0" applyFont="1" applyFill="1" applyBorder="1" applyAlignment="1">
      <alignment horizontal="center" vertical="center" wrapText="1"/>
    </xf>
    <xf numFmtId="0" fontId="6" fillId="0" borderId="0" xfId="0" applyFont="1" applyAlignment="1">
      <alignment horizontal="left" vertical="top" wrapText="1"/>
    </xf>
    <xf numFmtId="0" fontId="15" fillId="3" borderId="1" xfId="0" applyFont="1" applyFill="1" applyBorder="1" applyAlignment="1">
      <alignment horizontal="left" vertical="center" wrapText="1"/>
    </xf>
    <xf numFmtId="0" fontId="3" fillId="0" borderId="0" xfId="0" applyFont="1" applyAlignment="1">
      <alignment horizontal="left" vertical="top" wrapText="1"/>
    </xf>
    <xf numFmtId="0" fontId="29" fillId="2" borderId="0" xfId="0" applyFont="1" applyFill="1" applyAlignment="1">
      <alignment horizontal="left" vertical="center" wrapText="1"/>
    </xf>
    <xf numFmtId="0" fontId="1" fillId="2" borderId="0" xfId="0" applyFont="1" applyFill="1" applyAlignment="1">
      <alignment horizontal="left" vertical="center" wrapText="1"/>
    </xf>
    <xf numFmtId="0" fontId="2" fillId="3" borderId="1" xfId="0" applyFont="1" applyFill="1" applyBorder="1" applyAlignment="1">
      <alignment horizontal="left" vertical="center" wrapText="1"/>
    </xf>
    <xf numFmtId="0" fontId="20" fillId="2" borderId="0" xfId="0" applyFont="1" applyFill="1" applyAlignment="1">
      <alignment horizontal="left" vertical="center"/>
    </xf>
    <xf numFmtId="0" fontId="23" fillId="0" borderId="0" xfId="0" applyFont="1" applyAlignment="1">
      <alignment vertical="center" wrapText="1"/>
    </xf>
    <xf numFmtId="0" fontId="24" fillId="3" borderId="0" xfId="0" applyFont="1" applyFill="1" applyAlignment="1">
      <alignment vertical="center"/>
    </xf>
  </cellXfs>
  <cellStyles count="2">
    <cellStyle name="Hyperlink" xfId="1" builtinId="8"/>
    <cellStyle name="Normal" xfId="0" builtinId="0"/>
  </cellStyles>
  <dxfs count="41">
    <dxf>
      <fill>
        <patternFill patternType="solid">
          <fgColor rgb="FFFFC7CE"/>
          <bgColor rgb="FFFFC7CE"/>
        </patternFill>
      </fill>
    </dxf>
    <dxf>
      <fill>
        <patternFill patternType="solid">
          <fgColor rgb="FFFFC7CE"/>
          <bgColor rgb="FFFFC7CE"/>
        </patternFill>
      </fill>
    </dxf>
    <dxf>
      <font>
        <b/>
        <color rgb="FF8C8C8C"/>
      </font>
      <fill>
        <patternFill patternType="solid">
          <fgColor rgb="FFF2F2F2"/>
          <bgColor rgb="FFF2F2F2"/>
        </patternFill>
      </fill>
    </dxf>
    <dxf>
      <font>
        <b/>
        <color rgb="FF5A5A5A"/>
      </font>
      <fill>
        <patternFill patternType="solid">
          <fgColor rgb="FFDDDDDD"/>
          <bgColor rgb="FFDDDDDD"/>
        </patternFill>
      </fill>
    </dxf>
    <dxf>
      <font>
        <b/>
        <color rgb="FFFFFFFF"/>
      </font>
      <fill>
        <patternFill patternType="solid">
          <fgColor rgb="FFE74C3C"/>
          <bgColor rgb="FFE74C3C"/>
        </patternFill>
      </fill>
    </dxf>
    <dxf>
      <font>
        <b/>
        <color rgb="FF9C0006"/>
      </font>
      <fill>
        <patternFill patternType="solid">
          <fgColor rgb="FFFFC7CE"/>
          <bgColor rgb="FFFFC7CE"/>
        </patternFill>
      </fill>
    </dxf>
    <dxf>
      <font>
        <b/>
        <color rgb="FF8A5300"/>
      </font>
      <fill>
        <patternFill patternType="solid">
          <fgColor rgb="FFFFEB9C"/>
          <bgColor rgb="FFFFEB9C"/>
        </patternFill>
      </fill>
    </dxf>
    <dxf>
      <font>
        <b/>
        <color rgb="FF04672C"/>
      </font>
      <fill>
        <patternFill patternType="solid">
          <fgColor rgb="FFC6EFCE"/>
          <bgColor rgb="FFC6EFCE"/>
        </patternFill>
      </fill>
    </dxf>
    <dxf>
      <fill>
        <patternFill patternType="solid">
          <fgColor rgb="FFFFC7CE"/>
          <bgColor rgb="FFFFC7CE"/>
        </patternFill>
      </fill>
    </dxf>
    <dxf>
      <fill>
        <patternFill patternType="solid">
          <fgColor rgb="FFFFC7CE"/>
          <bgColor rgb="FFFFC7CE"/>
        </patternFill>
      </fill>
    </dxf>
    <dxf>
      <font>
        <b/>
        <color rgb="FF8C8C8C"/>
      </font>
      <fill>
        <patternFill patternType="solid">
          <fgColor rgb="FFF2F2F2"/>
          <bgColor rgb="FFF2F2F2"/>
        </patternFill>
      </fill>
    </dxf>
    <dxf>
      <font>
        <b/>
        <color rgb="FF5A5A5A"/>
      </font>
      <fill>
        <patternFill patternType="solid">
          <fgColor rgb="FFDDDDDD"/>
          <bgColor rgb="FFDDDDDD"/>
        </patternFill>
      </fill>
    </dxf>
    <dxf>
      <font>
        <b/>
        <color rgb="FFFFFFFF"/>
      </font>
      <fill>
        <patternFill patternType="solid">
          <fgColor rgb="FFE74C3C"/>
          <bgColor rgb="FFE74C3C"/>
        </patternFill>
      </fill>
    </dxf>
    <dxf>
      <font>
        <b/>
        <color rgb="FF9C0006"/>
      </font>
      <fill>
        <patternFill patternType="solid">
          <fgColor rgb="FFFFC7CE"/>
          <bgColor rgb="FFFFC7CE"/>
        </patternFill>
      </fill>
    </dxf>
    <dxf>
      <font>
        <b/>
        <color rgb="FF8A5300"/>
      </font>
      <fill>
        <patternFill patternType="solid">
          <fgColor rgb="FFFFEB9C"/>
          <bgColor rgb="FFFFEB9C"/>
        </patternFill>
      </fill>
    </dxf>
    <dxf>
      <font>
        <b/>
        <color rgb="FF04672C"/>
      </font>
      <fill>
        <patternFill patternType="solid">
          <fgColor rgb="FFC6EFCE"/>
          <bgColor rgb="FFC6EFCE"/>
        </patternFill>
      </fill>
    </dxf>
    <dxf>
      <fill>
        <patternFill patternType="solid">
          <fgColor rgb="FFFFC7CE"/>
          <bgColor rgb="FFFFC7CE"/>
        </patternFill>
      </fill>
    </dxf>
    <dxf>
      <fill>
        <patternFill patternType="solid">
          <fgColor rgb="FFFFC7CE"/>
          <bgColor rgb="FFFFC7CE"/>
        </patternFill>
      </fill>
    </dxf>
    <dxf>
      <font>
        <b/>
        <color rgb="FF8C8C8C"/>
      </font>
      <fill>
        <patternFill patternType="solid">
          <fgColor rgb="FFF2F2F2"/>
          <bgColor rgb="FFF2F2F2"/>
        </patternFill>
      </fill>
    </dxf>
    <dxf>
      <font>
        <b/>
        <color rgb="FF5A5A5A"/>
      </font>
      <fill>
        <patternFill patternType="solid">
          <fgColor rgb="FFDDDDDD"/>
          <bgColor rgb="FFDDDDDD"/>
        </patternFill>
      </fill>
    </dxf>
    <dxf>
      <font>
        <b/>
        <color rgb="FFFFFFFF"/>
      </font>
      <fill>
        <patternFill patternType="solid">
          <fgColor rgb="FFE74C3C"/>
          <bgColor rgb="FFE74C3C"/>
        </patternFill>
      </fill>
    </dxf>
    <dxf>
      <font>
        <b/>
        <color rgb="FF9C0006"/>
      </font>
      <fill>
        <patternFill patternType="solid">
          <fgColor rgb="FFFFC7CE"/>
          <bgColor rgb="FFFFC7CE"/>
        </patternFill>
      </fill>
    </dxf>
    <dxf>
      <font>
        <b/>
        <color rgb="FF8A5300"/>
      </font>
      <fill>
        <patternFill patternType="solid">
          <fgColor rgb="FFFFEB9C"/>
          <bgColor rgb="FFFFEB9C"/>
        </patternFill>
      </fill>
    </dxf>
    <dxf>
      <font>
        <b/>
        <color rgb="FF04672C"/>
      </font>
      <fill>
        <patternFill patternType="solid">
          <fgColor rgb="FFC6EFCE"/>
          <bgColor rgb="FFC6EFCE"/>
        </patternFill>
      </fill>
    </dxf>
    <dxf>
      <fill>
        <patternFill patternType="solid">
          <fgColor rgb="FFFFC7CE"/>
          <bgColor rgb="FFFFC7CE"/>
        </patternFill>
      </fill>
    </dxf>
    <dxf>
      <fill>
        <patternFill patternType="solid">
          <fgColor rgb="FFFFC7CE"/>
          <bgColor rgb="FFFFC7CE"/>
        </patternFill>
      </fill>
    </dxf>
    <dxf>
      <font>
        <b/>
        <color rgb="FF8C8C8C"/>
      </font>
      <fill>
        <patternFill patternType="solid">
          <fgColor rgb="FFF2F2F2"/>
          <bgColor rgb="FFF2F2F2"/>
        </patternFill>
      </fill>
    </dxf>
    <dxf>
      <font>
        <b/>
        <color rgb="FF5A5A5A"/>
      </font>
      <fill>
        <patternFill patternType="solid">
          <fgColor rgb="FFDDDDDD"/>
          <bgColor rgb="FFDDDDDD"/>
        </patternFill>
      </fill>
    </dxf>
    <dxf>
      <font>
        <b/>
        <color rgb="FFFFFFFF"/>
      </font>
      <fill>
        <patternFill patternType="solid">
          <fgColor rgb="FFE74C3C"/>
          <bgColor rgb="FFE74C3C"/>
        </patternFill>
      </fill>
    </dxf>
    <dxf>
      <font>
        <b/>
        <color rgb="FF9C0006"/>
      </font>
      <fill>
        <patternFill patternType="solid">
          <fgColor rgb="FFFFC7CE"/>
          <bgColor rgb="FFFFC7CE"/>
        </patternFill>
      </fill>
    </dxf>
    <dxf>
      <font>
        <b/>
        <color rgb="FF8A5300"/>
      </font>
      <fill>
        <patternFill patternType="solid">
          <fgColor rgb="FFFFEB9C"/>
          <bgColor rgb="FFFFEB9C"/>
        </patternFill>
      </fill>
    </dxf>
    <dxf>
      <font>
        <b/>
        <color rgb="FF04672C"/>
      </font>
      <fill>
        <patternFill patternType="solid">
          <fgColor rgb="FFC6EFCE"/>
          <bgColor rgb="FFC6EFCE"/>
        </patternFill>
      </fill>
    </dxf>
    <dxf>
      <fill>
        <patternFill patternType="solid">
          <fgColor rgb="FFFFC7CE"/>
          <bgColor rgb="FFFFC7CE"/>
        </patternFill>
      </fill>
    </dxf>
    <dxf>
      <fill>
        <patternFill patternType="solid">
          <fgColor rgb="FFFFC7CE"/>
          <bgColor rgb="FFFFC7CE"/>
        </patternFill>
      </fill>
    </dxf>
    <dxf>
      <font>
        <b/>
        <color rgb="FF8C8C8C"/>
      </font>
      <fill>
        <patternFill patternType="solid">
          <fgColor rgb="FFF2F2F2"/>
          <bgColor rgb="FFF2F2F2"/>
        </patternFill>
      </fill>
    </dxf>
    <dxf>
      <font>
        <b/>
        <color rgb="FF5A5A5A"/>
      </font>
      <fill>
        <patternFill patternType="solid">
          <fgColor rgb="FFDDDDDD"/>
          <bgColor rgb="FFDDDDDD"/>
        </patternFill>
      </fill>
    </dxf>
    <dxf>
      <font>
        <b/>
        <color rgb="FFFFFFFF"/>
      </font>
      <fill>
        <patternFill patternType="solid">
          <fgColor rgb="FFE74C3C"/>
          <bgColor rgb="FFE74C3C"/>
        </patternFill>
      </fill>
    </dxf>
    <dxf>
      <font>
        <b/>
        <color rgb="FF9C0006"/>
      </font>
      <fill>
        <patternFill patternType="solid">
          <fgColor rgb="FFFFC7CE"/>
          <bgColor rgb="FFFFC7CE"/>
        </patternFill>
      </fill>
    </dxf>
    <dxf>
      <font>
        <b/>
        <color rgb="FF8A5300"/>
      </font>
      <fill>
        <patternFill patternType="solid">
          <fgColor rgb="FFFFEB9C"/>
          <bgColor rgb="FFFFEB9C"/>
        </patternFill>
      </fill>
    </dxf>
    <dxf>
      <font>
        <b/>
        <color rgb="FF04672C"/>
      </font>
      <fill>
        <patternFill patternType="solid">
          <fgColor rgb="FFC6EFCE"/>
          <bgColor rgb="FFC6EFCE"/>
        </patternFill>
      </fill>
    </dxf>
    <dxf>
      <font>
        <b/>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2114550</xdr:colOff>
      <xdr:row>18</xdr:row>
      <xdr:rowOff>152400</xdr:rowOff>
    </xdr:from>
    <xdr:to>
      <xdr:col>10</xdr:col>
      <xdr:colOff>3362325</xdr:colOff>
      <xdr:row>19</xdr:row>
      <xdr:rowOff>19050</xdr:rowOff>
    </xdr:to>
    <xdr:pic>
      <xdr:nvPicPr>
        <xdr:cNvPr id="8" name="Picture 1">
          <a:extLst>
            <a:ext uri="{FF2B5EF4-FFF2-40B4-BE49-F238E27FC236}">
              <a16:creationId xmlns:a16="http://schemas.microsoft.com/office/drawing/2014/main" id="{94EB05F1-8A10-E0AE-52C7-D570DB8DC761}"/>
            </a:ext>
          </a:extLst>
        </xdr:cNvPr>
        <xdr:cNvPicPr>
          <a:picLocks noChangeAspect="1"/>
        </xdr:cNvPicPr>
      </xdr:nvPicPr>
      <xdr:blipFill>
        <a:blip xmlns:r="http://schemas.openxmlformats.org/officeDocument/2006/relationships" r:embed="rId1"/>
        <a:stretch>
          <a:fillRect/>
        </a:stretch>
      </xdr:blipFill>
      <xdr:spPr>
        <a:xfrm>
          <a:off x="18326100" y="17221200"/>
          <a:ext cx="1247775" cy="762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pathly-web-brown.vercel.app/" TargetMode="External"/><Relationship Id="rId13" Type="http://schemas.openxmlformats.org/officeDocument/2006/relationships/hyperlink" Target="http://localhost:8000" TargetMode="External"/><Relationship Id="rId18" Type="http://schemas.openxmlformats.org/officeDocument/2006/relationships/hyperlink" Target="http://localhost:5540" TargetMode="External"/><Relationship Id="rId3" Type="http://schemas.openxmlformats.org/officeDocument/2006/relationships/hyperlink" Target="https://pathly-web-brown.vercel.app/" TargetMode="External"/><Relationship Id="rId21" Type="http://schemas.openxmlformats.org/officeDocument/2006/relationships/hyperlink" Target="http://localhost:8000" TargetMode="External"/><Relationship Id="rId7" Type="http://schemas.openxmlformats.org/officeDocument/2006/relationships/hyperlink" Target="https://github.com/Dissonance-Eip/ui" TargetMode="External"/><Relationship Id="rId12" Type="http://schemas.openxmlformats.org/officeDocument/2006/relationships/hyperlink" Target="http://localhost:3000" TargetMode="External"/><Relationship Id="rId17" Type="http://schemas.openxmlformats.org/officeDocument/2006/relationships/hyperlink" Target="http://localhost:5433" TargetMode="External"/><Relationship Id="rId2" Type="http://schemas.openxmlformats.org/officeDocument/2006/relationships/hyperlink" Target="https://github.com/Dissonance-Eip/ui/releases/latest" TargetMode="External"/><Relationship Id="rId16" Type="http://schemas.openxmlformats.org/officeDocument/2006/relationships/hyperlink" Target="http://localhost:15672" TargetMode="External"/><Relationship Id="rId20" Type="http://schemas.openxmlformats.org/officeDocument/2006/relationships/hyperlink" Target="http://localhost:3000" TargetMode="External"/><Relationship Id="rId1" Type="http://schemas.openxmlformats.org/officeDocument/2006/relationships/hyperlink" Target="https://eclypswebsite.netlify.app" TargetMode="External"/><Relationship Id="rId6" Type="http://schemas.openxmlformats.org/officeDocument/2006/relationships/hyperlink" Target="https://eclypswebsite.netlify.app" TargetMode="External"/><Relationship Id="rId11" Type="http://schemas.openxmlformats.org/officeDocument/2006/relationships/hyperlink" Target="https://epitechfr-my.sharepoint.com/:u:/g/personal/loup_marquez_epitech_eu/IQDSYS6FbbXXR50eb-HXaqiWAZdwJ_LRXc47EHymear3qyQ?e=8wllsu" TargetMode="External"/><Relationship Id="rId5" Type="http://schemas.openxmlformats.org/officeDocument/2006/relationships/hyperlink" Target="https://fas-ai.net" TargetMode="External"/><Relationship Id="rId15" Type="http://schemas.openxmlformats.org/officeDocument/2006/relationships/hyperlink" Target="http://localhost:8080" TargetMode="External"/><Relationship Id="rId10" Type="http://schemas.openxmlformats.org/officeDocument/2006/relationships/hyperlink" Target="https://yopmail.com/en/" TargetMode="External"/><Relationship Id="rId19" Type="http://schemas.openxmlformats.org/officeDocument/2006/relationships/hyperlink" Target="https://fas-ai.net" TargetMode="External"/><Relationship Id="rId4" Type="http://schemas.openxmlformats.org/officeDocument/2006/relationships/hyperlink" Target="https://epitechfr-my.sharepoint.com/:u:/g/personal/loup_marquez_epitech_eu/IQDSYS6FbbXXR50eb-HXaqiWAZdwJ_LRXc47EHymear3qyQ?e=8wllsu" TargetMode="External"/><Relationship Id="rId9" Type="http://schemas.openxmlformats.org/officeDocument/2006/relationships/hyperlink" Target="https://drive.google.com/drive/folders/1zkOvY62Y2zB1DO4MH0k0u6xxBycU-A6P?usp=sharing" TargetMode="External"/><Relationship Id="rId14" Type="http://schemas.openxmlformats.org/officeDocument/2006/relationships/hyperlink" Target="http://localhost:8001" TargetMode="External"/><Relationship Id="rId22" Type="http://schemas.openxmlformats.org/officeDocument/2006/relationships/hyperlink" Target="mailto:user@fas-ai.test"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0"/>
  <sheetViews>
    <sheetView workbookViewId="0">
      <pane ySplit="1" topLeftCell="A16" activePane="bottomLeft" state="frozen"/>
      <selection pane="bottomLeft" activeCell="C111" sqref="C111"/>
    </sheetView>
  </sheetViews>
  <sheetFormatPr defaultRowHeight="15"/>
  <cols>
    <col min="1" max="1" width="30" customWidth="1"/>
    <col min="2" max="2" width="46" customWidth="1"/>
    <col min="3" max="3" width="34" customWidth="1"/>
    <col min="4" max="4" width="30" customWidth="1"/>
    <col min="5" max="5" width="26" customWidth="1"/>
  </cols>
  <sheetData>
    <row r="1" spans="1:5" ht="39.950000000000003" customHeight="1">
      <c r="A1" s="54" t="s">
        <v>0</v>
      </c>
      <c r="B1" s="55"/>
      <c r="C1" s="55"/>
      <c r="D1" s="55"/>
      <c r="E1" s="55"/>
    </row>
    <row r="2" spans="1:5" ht="32.1" customHeight="1">
      <c r="A2" s="56" t="s">
        <v>1</v>
      </c>
      <c r="B2" s="56"/>
      <c r="C2" s="56"/>
      <c r="D2" s="56"/>
      <c r="E2" s="56"/>
    </row>
    <row r="3" spans="1:5" ht="38.450000000000003" customHeight="1">
      <c r="A3" s="53" t="s">
        <v>2</v>
      </c>
      <c r="B3" s="53"/>
      <c r="C3" s="53"/>
      <c r="D3" s="53"/>
      <c r="E3" s="53"/>
    </row>
    <row r="4" spans="1:5" ht="32.1" customHeight="1">
      <c r="A4" s="56" t="s">
        <v>3</v>
      </c>
      <c r="B4" s="56"/>
      <c r="C4" s="56"/>
      <c r="D4" s="56"/>
      <c r="E4" s="56"/>
    </row>
    <row r="5" spans="1:5">
      <c r="A5" s="1" t="s">
        <v>4</v>
      </c>
      <c r="B5" s="1" t="s">
        <v>5</v>
      </c>
    </row>
    <row r="6" spans="1:5" ht="60.75" customHeight="1">
      <c r="A6" s="2" t="s">
        <v>6</v>
      </c>
      <c r="B6" s="3" t="s">
        <v>7</v>
      </c>
    </row>
    <row r="7" spans="1:5" ht="47.65" customHeight="1">
      <c r="A7" s="4" t="s">
        <v>8</v>
      </c>
      <c r="B7" s="3" t="s">
        <v>9</v>
      </c>
    </row>
    <row r="8" spans="1:5" ht="47.65" customHeight="1">
      <c r="A8" s="5" t="s">
        <v>10</v>
      </c>
      <c r="B8" s="3" t="s">
        <v>11</v>
      </c>
    </row>
    <row r="9" spans="1:5" ht="60.75" customHeight="1">
      <c r="A9" s="6" t="s">
        <v>12</v>
      </c>
      <c r="B9" s="3" t="s">
        <v>13</v>
      </c>
    </row>
    <row r="10" spans="1:5" ht="60.75" customHeight="1">
      <c r="A10" s="7" t="s">
        <v>14</v>
      </c>
      <c r="B10" s="3" t="s">
        <v>15</v>
      </c>
    </row>
    <row r="11" spans="1:5" ht="47.65" customHeight="1">
      <c r="A11" s="8" t="s">
        <v>16</v>
      </c>
      <c r="B11" s="3" t="s">
        <v>17</v>
      </c>
    </row>
    <row r="12" spans="1:5" ht="32.1" customHeight="1">
      <c r="A12" s="56" t="s">
        <v>18</v>
      </c>
      <c r="B12" s="56"/>
      <c r="C12" s="56"/>
      <c r="D12" s="56"/>
      <c r="E12" s="56"/>
    </row>
    <row r="13" spans="1:5">
      <c r="A13" s="1" t="s">
        <v>19</v>
      </c>
      <c r="B13" s="1" t="s">
        <v>20</v>
      </c>
      <c r="C13" s="1" t="s">
        <v>21</v>
      </c>
      <c r="D13" s="1" t="s">
        <v>22</v>
      </c>
      <c r="E13" s="1" t="s">
        <v>23</v>
      </c>
    </row>
    <row r="14" spans="1:5" ht="140.1" customHeight="1">
      <c r="A14" s="9" t="s">
        <v>24</v>
      </c>
      <c r="B14" s="3" t="s">
        <v>25</v>
      </c>
      <c r="C14" s="10" t="s">
        <v>26</v>
      </c>
      <c r="D14" s="11" t="s">
        <v>27</v>
      </c>
      <c r="E14" s="12" t="s">
        <v>24</v>
      </c>
    </row>
    <row r="15" spans="1:5" ht="60.75" customHeight="1">
      <c r="A15" s="9" t="s">
        <v>28</v>
      </c>
      <c r="B15" s="3" t="s">
        <v>29</v>
      </c>
      <c r="C15" s="10" t="s">
        <v>30</v>
      </c>
      <c r="D15" s="11" t="s">
        <v>31</v>
      </c>
      <c r="E15" s="12" t="s">
        <v>28</v>
      </c>
    </row>
    <row r="16" spans="1:5" ht="113.65" customHeight="1">
      <c r="A16" s="9" t="s">
        <v>32</v>
      </c>
      <c r="B16" s="3" t="s">
        <v>33</v>
      </c>
      <c r="C16" s="10" t="s">
        <v>34</v>
      </c>
      <c r="D16" s="11" t="s">
        <v>35</v>
      </c>
      <c r="E16" s="12" t="s">
        <v>32</v>
      </c>
    </row>
    <row r="17" spans="1:5" ht="60.75" customHeight="1">
      <c r="A17" s="9" t="s">
        <v>36</v>
      </c>
      <c r="B17" s="3" t="s">
        <v>37</v>
      </c>
      <c r="C17" s="10" t="s">
        <v>38</v>
      </c>
      <c r="D17" s="11" t="s">
        <v>39</v>
      </c>
      <c r="E17" s="12" t="s">
        <v>36</v>
      </c>
    </row>
    <row r="18" spans="1:5" ht="113.65" customHeight="1">
      <c r="A18" s="9" t="s">
        <v>40</v>
      </c>
      <c r="B18" s="3" t="s">
        <v>41</v>
      </c>
      <c r="C18" s="10" t="s">
        <v>42</v>
      </c>
      <c r="D18" s="11" t="s">
        <v>43</v>
      </c>
      <c r="E18" s="12" t="s">
        <v>40</v>
      </c>
    </row>
    <row r="19" spans="1:5">
      <c r="A19" s="40" t="s">
        <v>44</v>
      </c>
      <c r="B19" s="40" t="s">
        <v>45</v>
      </c>
      <c r="C19" s="40" t="s">
        <v>45</v>
      </c>
      <c r="D19" s="40" t="s">
        <v>46</v>
      </c>
      <c r="E19" s="40" t="s">
        <v>45</v>
      </c>
    </row>
    <row r="20" spans="1:5" ht="33.950000000000003" customHeight="1">
      <c r="A20" s="52" t="s">
        <v>47</v>
      </c>
      <c r="B20" s="52"/>
      <c r="C20" s="52"/>
      <c r="D20" s="52"/>
      <c r="E20" s="52"/>
    </row>
    <row r="21" spans="1:5" ht="30" customHeight="1">
      <c r="A21" s="49" t="s">
        <v>48</v>
      </c>
      <c r="B21" s="49"/>
      <c r="C21" s="49"/>
      <c r="D21" s="49"/>
      <c r="E21" s="49"/>
    </row>
    <row r="22" spans="1:5">
      <c r="A22" s="1" t="s">
        <v>49</v>
      </c>
      <c r="B22" s="1" t="s">
        <v>50</v>
      </c>
      <c r="C22" s="1" t="s">
        <v>51</v>
      </c>
    </row>
    <row r="23" spans="1:5">
      <c r="A23" s="13" t="s">
        <v>52</v>
      </c>
      <c r="B23" s="10" t="s">
        <v>26</v>
      </c>
      <c r="C23" s="14" t="s">
        <v>45</v>
      </c>
    </row>
    <row r="24" spans="1:5" ht="30" customHeight="1">
      <c r="A24" s="49" t="s">
        <v>53</v>
      </c>
      <c r="B24" s="49"/>
      <c r="C24" s="49"/>
      <c r="D24" s="49"/>
      <c r="E24" s="49"/>
    </row>
    <row r="25" spans="1:5">
      <c r="A25" s="1" t="s">
        <v>54</v>
      </c>
      <c r="B25" s="1" t="s">
        <v>55</v>
      </c>
      <c r="C25" s="1" t="s">
        <v>56</v>
      </c>
    </row>
    <row r="26" spans="1:5">
      <c r="A26" s="14" t="s">
        <v>57</v>
      </c>
      <c r="B26" s="14" t="s">
        <v>58</v>
      </c>
      <c r="C26" s="14" t="s">
        <v>59</v>
      </c>
    </row>
    <row r="27" spans="1:5">
      <c r="A27" s="14" t="s">
        <v>60</v>
      </c>
      <c r="B27" s="14" t="s">
        <v>61</v>
      </c>
      <c r="C27" s="14" t="s">
        <v>62</v>
      </c>
    </row>
    <row r="28" spans="1:5" ht="33.950000000000003" customHeight="1">
      <c r="A28" s="52" t="s">
        <v>63</v>
      </c>
      <c r="B28" s="52"/>
      <c r="C28" s="52"/>
      <c r="D28" s="52"/>
      <c r="E28" s="52"/>
    </row>
    <row r="29" spans="1:5" ht="74.099999999999994" customHeight="1">
      <c r="A29" s="3" t="s">
        <v>64</v>
      </c>
      <c r="B29" s="3" t="s">
        <v>65</v>
      </c>
    </row>
    <row r="30" spans="1:5" ht="30" customHeight="1">
      <c r="A30" s="49" t="s">
        <v>48</v>
      </c>
      <c r="B30" s="49"/>
      <c r="C30" s="49"/>
      <c r="D30" s="49"/>
      <c r="E30" s="49"/>
    </row>
    <row r="31" spans="1:5">
      <c r="A31" s="1" t="s">
        <v>49</v>
      </c>
      <c r="B31" s="1" t="s">
        <v>50</v>
      </c>
      <c r="C31" s="1" t="s">
        <v>51</v>
      </c>
    </row>
    <row r="32" spans="1:5" ht="74.099999999999994" customHeight="1">
      <c r="A32" s="13" t="s">
        <v>66</v>
      </c>
      <c r="B32" s="10"/>
      <c r="C32" s="14" t="s">
        <v>67</v>
      </c>
    </row>
    <row r="33" spans="1:5" ht="47.65" customHeight="1">
      <c r="A33" s="13" t="s">
        <v>68</v>
      </c>
      <c r="B33" s="10" t="s">
        <v>69</v>
      </c>
      <c r="C33" s="14" t="s">
        <v>70</v>
      </c>
    </row>
    <row r="34" spans="1:5" ht="30" customHeight="1">
      <c r="A34" s="49" t="s">
        <v>53</v>
      </c>
      <c r="B34" s="49"/>
      <c r="C34" s="49"/>
      <c r="D34" s="49"/>
      <c r="E34" s="49"/>
    </row>
    <row r="35" spans="1:5">
      <c r="A35" s="1" t="s">
        <v>54</v>
      </c>
      <c r="B35" s="1" t="s">
        <v>55</v>
      </c>
      <c r="C35" s="1" t="s">
        <v>56</v>
      </c>
    </row>
    <row r="36" spans="1:5" ht="47.65" customHeight="1">
      <c r="A36" s="14" t="s">
        <v>71</v>
      </c>
      <c r="B36" s="14" t="s">
        <v>72</v>
      </c>
      <c r="C36" s="14" t="s">
        <v>73</v>
      </c>
    </row>
    <row r="37" spans="1:5" ht="30" customHeight="1">
      <c r="A37" s="49" t="s">
        <v>74</v>
      </c>
      <c r="B37" s="49"/>
      <c r="C37" s="49"/>
      <c r="D37" s="49"/>
      <c r="E37" s="49"/>
    </row>
    <row r="38" spans="1:5" ht="25.15" customHeight="1">
      <c r="A38" s="53" t="s">
        <v>75</v>
      </c>
      <c r="B38" s="53"/>
      <c r="C38" s="53"/>
      <c r="D38" s="53"/>
      <c r="E38" s="53"/>
    </row>
    <row r="39" spans="1:5">
      <c r="A39" s="1" t="s">
        <v>76</v>
      </c>
      <c r="B39" s="1" t="s">
        <v>77</v>
      </c>
    </row>
    <row r="40" spans="1:5" ht="34.35" customHeight="1">
      <c r="A40" s="14" t="s">
        <v>78</v>
      </c>
      <c r="B40" s="14" t="s">
        <v>79</v>
      </c>
    </row>
    <row r="41" spans="1:5" ht="34.35" customHeight="1">
      <c r="A41" s="14" t="s">
        <v>80</v>
      </c>
      <c r="B41" s="14" t="s">
        <v>81</v>
      </c>
    </row>
    <row r="42" spans="1:5" ht="34.35" customHeight="1">
      <c r="A42" s="14" t="s">
        <v>82</v>
      </c>
      <c r="B42" s="14" t="s">
        <v>83</v>
      </c>
    </row>
    <row r="43" spans="1:5" ht="34.35" customHeight="1">
      <c r="A43" s="14" t="s">
        <v>84</v>
      </c>
      <c r="B43" s="14" t="s">
        <v>85</v>
      </c>
    </row>
    <row r="44" spans="1:5" ht="34.35" customHeight="1">
      <c r="A44" s="14" t="s">
        <v>86</v>
      </c>
      <c r="B44" s="14" t="s">
        <v>87</v>
      </c>
    </row>
    <row r="45" spans="1:5" ht="34.35" customHeight="1">
      <c r="A45" s="14" t="s">
        <v>88</v>
      </c>
      <c r="B45" s="14" t="s">
        <v>89</v>
      </c>
    </row>
    <row r="46" spans="1:5" ht="47.65" customHeight="1">
      <c r="A46" s="14" t="s">
        <v>90</v>
      </c>
      <c r="B46" s="14" t="s">
        <v>91</v>
      </c>
    </row>
    <row r="47" spans="1:5" ht="34.35" customHeight="1">
      <c r="A47" s="14" t="s">
        <v>92</v>
      </c>
      <c r="B47" s="14" t="s">
        <v>93</v>
      </c>
    </row>
    <row r="48" spans="1:5">
      <c r="A48" s="14" t="s">
        <v>94</v>
      </c>
      <c r="B48" s="14" t="s">
        <v>95</v>
      </c>
    </row>
    <row r="49" spans="1:5" ht="30" customHeight="1">
      <c r="A49" s="49" t="s">
        <v>96</v>
      </c>
      <c r="B49" s="49"/>
      <c r="C49" s="49"/>
      <c r="D49" s="49"/>
      <c r="E49" s="49"/>
    </row>
    <row r="50" spans="1:5" ht="34.35" customHeight="1">
      <c r="A50" s="51" t="s">
        <v>97</v>
      </c>
      <c r="B50" s="51"/>
      <c r="C50" s="51"/>
      <c r="D50" s="51"/>
      <c r="E50" s="51"/>
    </row>
    <row r="51" spans="1:5" ht="33.950000000000003" customHeight="1">
      <c r="A51" s="52" t="s">
        <v>98</v>
      </c>
      <c r="B51" s="52"/>
      <c r="C51" s="52"/>
      <c r="D51" s="52"/>
      <c r="E51" s="52"/>
    </row>
    <row r="52" spans="1:5" ht="30" customHeight="1">
      <c r="A52" s="49" t="s">
        <v>48</v>
      </c>
      <c r="B52" s="49"/>
      <c r="C52" s="49"/>
      <c r="D52" s="49"/>
      <c r="E52" s="49"/>
    </row>
    <row r="53" spans="1:5">
      <c r="A53" s="1" t="s">
        <v>49</v>
      </c>
      <c r="B53" s="1" t="s">
        <v>50</v>
      </c>
      <c r="C53" s="1" t="s">
        <v>51</v>
      </c>
    </row>
    <row r="54" spans="1:5">
      <c r="A54" s="13" t="s">
        <v>99</v>
      </c>
      <c r="B54" s="10" t="s">
        <v>34</v>
      </c>
      <c r="C54" s="14" t="s">
        <v>45</v>
      </c>
    </row>
    <row r="55" spans="1:5" ht="34.35" customHeight="1">
      <c r="A55" s="13" t="s">
        <v>100</v>
      </c>
      <c r="B55" s="10" t="s">
        <v>101</v>
      </c>
      <c r="C55" s="14" t="s">
        <v>45</v>
      </c>
    </row>
    <row r="56" spans="1:5">
      <c r="A56" s="13" t="s">
        <v>102</v>
      </c>
      <c r="B56" s="48" t="s">
        <v>103</v>
      </c>
      <c r="C56" s="14" t="s">
        <v>45</v>
      </c>
    </row>
    <row r="57" spans="1:5" ht="30" customHeight="1">
      <c r="A57" s="49" t="s">
        <v>53</v>
      </c>
      <c r="B57" s="49"/>
      <c r="C57" s="49"/>
      <c r="D57" s="49"/>
      <c r="E57" s="49"/>
    </row>
    <row r="58" spans="1:5">
      <c r="A58" s="1" t="s">
        <v>54</v>
      </c>
      <c r="B58" s="1" t="s">
        <v>55</v>
      </c>
      <c r="C58" s="1" t="s">
        <v>56</v>
      </c>
    </row>
    <row r="59" spans="1:5">
      <c r="A59" s="14" t="s">
        <v>104</v>
      </c>
      <c r="B59" s="14" t="s">
        <v>105</v>
      </c>
      <c r="C59" s="14" t="s">
        <v>106</v>
      </c>
    </row>
    <row r="60" spans="1:5">
      <c r="A60" s="14" t="s">
        <v>107</v>
      </c>
      <c r="B60" s="14" t="s">
        <v>108</v>
      </c>
      <c r="C60" s="14" t="s">
        <v>106</v>
      </c>
    </row>
    <row r="61" spans="1:5" ht="30" customHeight="1">
      <c r="A61" s="49" t="s">
        <v>96</v>
      </c>
      <c r="B61" s="49"/>
      <c r="C61" s="49"/>
      <c r="D61" s="49"/>
      <c r="E61" s="49"/>
    </row>
    <row r="62" spans="1:5" ht="21.2" customHeight="1">
      <c r="A62" s="51" t="s">
        <v>109</v>
      </c>
      <c r="B62" s="51"/>
      <c r="C62" s="51"/>
      <c r="D62" s="51"/>
      <c r="E62" s="51"/>
    </row>
    <row r="63" spans="1:5" ht="34.35" customHeight="1">
      <c r="A63" s="51" t="s">
        <v>110</v>
      </c>
      <c r="B63" s="51"/>
      <c r="C63" s="51"/>
      <c r="D63" s="51"/>
      <c r="E63" s="51"/>
    </row>
    <row r="64" spans="1:5" ht="21.2" customHeight="1">
      <c r="A64" s="51" t="s">
        <v>111</v>
      </c>
      <c r="B64" s="51"/>
      <c r="C64" s="51"/>
      <c r="D64" s="51"/>
      <c r="E64" s="51"/>
    </row>
    <row r="65" spans="1:5" ht="33.950000000000003" customHeight="1">
      <c r="A65" s="52" t="s">
        <v>112</v>
      </c>
      <c r="B65" s="52"/>
      <c r="C65" s="52"/>
      <c r="D65" s="52"/>
      <c r="E65" s="52"/>
    </row>
    <row r="66" spans="1:5" ht="140.1" customHeight="1">
      <c r="A66" s="3" t="s">
        <v>64</v>
      </c>
      <c r="B66" s="3" t="s">
        <v>113</v>
      </c>
    </row>
    <row r="67" spans="1:5" ht="30" customHeight="1">
      <c r="A67" s="49" t="s">
        <v>48</v>
      </c>
      <c r="B67" s="49"/>
      <c r="C67" s="49"/>
      <c r="D67" s="49"/>
      <c r="E67" s="49"/>
    </row>
    <row r="68" spans="1:5">
      <c r="A68" s="1" t="s">
        <v>49</v>
      </c>
      <c r="B68" s="1" t="s">
        <v>50</v>
      </c>
      <c r="C68" s="1" t="s">
        <v>51</v>
      </c>
    </row>
    <row r="69" spans="1:5" ht="74.099999999999994" customHeight="1">
      <c r="A69" s="13" t="s">
        <v>114</v>
      </c>
      <c r="B69" s="10" t="s">
        <v>38</v>
      </c>
      <c r="C69" s="14" t="s">
        <v>115</v>
      </c>
    </row>
    <row r="70" spans="1:5" ht="47.65" customHeight="1">
      <c r="A70" s="13" t="s">
        <v>116</v>
      </c>
      <c r="B70" s="14" t="s">
        <v>117</v>
      </c>
      <c r="C70" s="14" t="s">
        <v>118</v>
      </c>
    </row>
    <row r="71" spans="1:5" ht="113.65" customHeight="1">
      <c r="A71" s="13" t="s">
        <v>119</v>
      </c>
      <c r="B71" s="10" t="s">
        <v>120</v>
      </c>
      <c r="C71" s="14" t="s">
        <v>121</v>
      </c>
    </row>
    <row r="72" spans="1:5" ht="34.35" customHeight="1">
      <c r="A72" s="13" t="s">
        <v>122</v>
      </c>
      <c r="B72" s="10" t="s">
        <v>123</v>
      </c>
      <c r="C72" s="14" t="s">
        <v>124</v>
      </c>
    </row>
    <row r="73" spans="1:5">
      <c r="A73" s="13" t="s">
        <v>125</v>
      </c>
      <c r="B73" s="10" t="s">
        <v>126</v>
      </c>
      <c r="C73" s="14" t="s">
        <v>127</v>
      </c>
    </row>
    <row r="74" spans="1:5" ht="47.65" customHeight="1">
      <c r="A74" s="13" t="s">
        <v>128</v>
      </c>
      <c r="B74" s="10" t="s">
        <v>129</v>
      </c>
      <c r="C74" s="14" t="s">
        <v>130</v>
      </c>
    </row>
    <row r="75" spans="1:5">
      <c r="A75" s="13" t="s">
        <v>131</v>
      </c>
      <c r="B75" s="10" t="s">
        <v>132</v>
      </c>
      <c r="C75" s="14" t="s">
        <v>133</v>
      </c>
    </row>
    <row r="76" spans="1:5">
      <c r="A76" s="13" t="s">
        <v>134</v>
      </c>
      <c r="B76" s="10" t="s">
        <v>135</v>
      </c>
      <c r="C76" s="14" t="s">
        <v>136</v>
      </c>
    </row>
    <row r="77" spans="1:5">
      <c r="A77" s="13" t="s">
        <v>137</v>
      </c>
      <c r="B77" s="10" t="s">
        <v>138</v>
      </c>
      <c r="C77" s="14" t="s">
        <v>139</v>
      </c>
    </row>
    <row r="78" spans="1:5">
      <c r="A78" s="13" t="s">
        <v>140</v>
      </c>
      <c r="B78" s="14" t="s">
        <v>141</v>
      </c>
      <c r="C78" s="14" t="s">
        <v>142</v>
      </c>
    </row>
    <row r="79" spans="1:5" ht="30" customHeight="1">
      <c r="A79" s="49" t="s">
        <v>53</v>
      </c>
      <c r="B79" s="49"/>
      <c r="C79" s="49"/>
      <c r="D79" s="49"/>
      <c r="E79" s="49"/>
    </row>
    <row r="80" spans="1:5">
      <c r="A80" s="1" t="s">
        <v>54</v>
      </c>
      <c r="B80" s="1" t="s">
        <v>55</v>
      </c>
      <c r="C80" s="1" t="s">
        <v>56</v>
      </c>
    </row>
    <row r="81" spans="1:5">
      <c r="A81" s="14" t="s">
        <v>143</v>
      </c>
      <c r="B81" s="14" t="s">
        <v>144</v>
      </c>
      <c r="C81" s="14" t="s">
        <v>144</v>
      </c>
    </row>
    <row r="82" spans="1:5">
      <c r="A82" s="14" t="s">
        <v>145</v>
      </c>
      <c r="B82" s="14" t="s">
        <v>146</v>
      </c>
      <c r="C82" s="14" t="s">
        <v>147</v>
      </c>
    </row>
    <row r="83" spans="1:5">
      <c r="A83" s="14" t="s">
        <v>148</v>
      </c>
      <c r="B83" s="14" t="s">
        <v>149</v>
      </c>
      <c r="C83" s="14" t="s">
        <v>147</v>
      </c>
    </row>
    <row r="84" spans="1:5">
      <c r="A84" s="14" t="s">
        <v>150</v>
      </c>
      <c r="B84" s="14" t="s">
        <v>151</v>
      </c>
      <c r="C84" s="14" t="s">
        <v>147</v>
      </c>
    </row>
    <row r="85" spans="1:5">
      <c r="A85" s="14" t="s">
        <v>152</v>
      </c>
      <c r="B85" s="14" t="s">
        <v>153</v>
      </c>
      <c r="C85" s="14" t="s">
        <v>147</v>
      </c>
    </row>
    <row r="86" spans="1:5">
      <c r="A86" s="14" t="s">
        <v>131</v>
      </c>
      <c r="B86" s="14" t="s">
        <v>154</v>
      </c>
      <c r="C86" s="14" t="s">
        <v>154</v>
      </c>
    </row>
    <row r="87" spans="1:5">
      <c r="A87" s="14" t="s">
        <v>134</v>
      </c>
      <c r="B87" s="14" t="s">
        <v>155</v>
      </c>
      <c r="C87" s="14" t="s">
        <v>144</v>
      </c>
    </row>
    <row r="88" spans="1:5" ht="30" customHeight="1">
      <c r="A88" s="49" t="s">
        <v>74</v>
      </c>
      <c r="B88" s="49"/>
      <c r="C88" s="49"/>
      <c r="D88" s="49"/>
      <c r="E88" s="49"/>
    </row>
    <row r="89" spans="1:5" ht="25.15" customHeight="1">
      <c r="A89" s="53" t="s">
        <v>156</v>
      </c>
      <c r="B89" s="53"/>
      <c r="C89" s="53"/>
      <c r="D89" s="53"/>
      <c r="E89" s="53"/>
    </row>
    <row r="90" spans="1:5">
      <c r="A90" s="1" t="s">
        <v>76</v>
      </c>
      <c r="B90" s="1" t="s">
        <v>77</v>
      </c>
    </row>
    <row r="91" spans="1:5" ht="34.35" customHeight="1">
      <c r="A91" s="14" t="s">
        <v>157</v>
      </c>
      <c r="B91" s="14" t="s">
        <v>158</v>
      </c>
    </row>
    <row r="92" spans="1:5">
      <c r="A92" s="14" t="s">
        <v>159</v>
      </c>
      <c r="B92" s="14" t="s">
        <v>160</v>
      </c>
    </row>
    <row r="93" spans="1:5">
      <c r="A93" s="14" t="s">
        <v>161</v>
      </c>
      <c r="B93" s="14" t="s">
        <v>162</v>
      </c>
    </row>
    <row r="94" spans="1:5">
      <c r="A94" s="14" t="s">
        <v>163</v>
      </c>
      <c r="B94" s="14" t="s">
        <v>164</v>
      </c>
    </row>
    <row r="95" spans="1:5">
      <c r="A95" s="14" t="s">
        <v>165</v>
      </c>
      <c r="B95" s="14" t="s">
        <v>166</v>
      </c>
    </row>
    <row r="96" spans="1:5" ht="30" customHeight="1">
      <c r="A96" s="49" t="s">
        <v>96</v>
      </c>
      <c r="B96" s="49"/>
      <c r="C96" s="49"/>
      <c r="D96" s="49"/>
      <c r="E96" s="49"/>
    </row>
    <row r="97" spans="1:5" ht="60.75" customHeight="1">
      <c r="A97" s="51" t="s">
        <v>167</v>
      </c>
      <c r="B97" s="51"/>
      <c r="C97" s="51"/>
      <c r="D97" s="51"/>
      <c r="E97" s="51"/>
    </row>
    <row r="98" spans="1:5" ht="47.65" customHeight="1">
      <c r="A98" s="51" t="s">
        <v>168</v>
      </c>
      <c r="B98" s="51"/>
      <c r="C98" s="51"/>
      <c r="D98" s="51"/>
      <c r="E98" s="51"/>
    </row>
    <row r="99" spans="1:5" ht="47.65" customHeight="1">
      <c r="A99" s="51" t="s">
        <v>169</v>
      </c>
      <c r="B99" s="51"/>
      <c r="C99" s="51"/>
      <c r="D99" s="51"/>
      <c r="E99" s="51"/>
    </row>
    <row r="100" spans="1:5" ht="34.35" customHeight="1">
      <c r="A100" s="51" t="s">
        <v>170</v>
      </c>
      <c r="B100" s="51"/>
      <c r="C100" s="51"/>
      <c r="D100" s="51"/>
      <c r="E100" s="51"/>
    </row>
    <row r="101" spans="1:5" ht="21.2" customHeight="1">
      <c r="A101" s="51" t="s">
        <v>171</v>
      </c>
      <c r="B101" s="51"/>
      <c r="C101" s="51"/>
      <c r="D101" s="51"/>
      <c r="E101" s="51"/>
    </row>
    <row r="102" spans="1:5" ht="21.2" customHeight="1">
      <c r="A102" s="51" t="s">
        <v>172</v>
      </c>
      <c r="B102" s="51"/>
      <c r="C102" s="51"/>
      <c r="D102" s="51"/>
      <c r="E102" s="51"/>
    </row>
    <row r="103" spans="1:5" ht="33.950000000000003" customHeight="1">
      <c r="A103" s="52" t="s">
        <v>173</v>
      </c>
      <c r="B103" s="52"/>
      <c r="C103" s="52"/>
      <c r="D103" s="52"/>
      <c r="E103" s="52"/>
    </row>
    <row r="104" spans="1:5" ht="30" customHeight="1">
      <c r="A104" s="49" t="s">
        <v>48</v>
      </c>
      <c r="B104" s="49"/>
      <c r="C104" s="49"/>
      <c r="D104" s="49"/>
      <c r="E104" s="49"/>
    </row>
    <row r="105" spans="1:5">
      <c r="A105" s="1" t="s">
        <v>49</v>
      </c>
      <c r="B105" s="1" t="s">
        <v>50</v>
      </c>
      <c r="C105" s="1" t="s">
        <v>51</v>
      </c>
    </row>
    <row r="106" spans="1:5">
      <c r="A106" s="13" t="s">
        <v>174</v>
      </c>
      <c r="B106" s="10" t="s">
        <v>42</v>
      </c>
      <c r="C106" s="14" t="s">
        <v>45</v>
      </c>
    </row>
    <row r="107" spans="1:5">
      <c r="A107" s="13" t="s">
        <v>175</v>
      </c>
      <c r="B107" s="10" t="s">
        <v>120</v>
      </c>
      <c r="C107" s="14" t="s">
        <v>45</v>
      </c>
    </row>
    <row r="108" spans="1:5">
      <c r="A108" s="13" t="s">
        <v>176</v>
      </c>
      <c r="B108" s="10" t="s">
        <v>123</v>
      </c>
      <c r="C108" s="14" t="s">
        <v>45</v>
      </c>
    </row>
    <row r="109" spans="1:5" ht="30" customHeight="1">
      <c r="A109" s="49" t="s">
        <v>53</v>
      </c>
      <c r="B109" s="49"/>
      <c r="C109" s="49"/>
      <c r="D109" s="49"/>
      <c r="E109" s="49"/>
    </row>
    <row r="110" spans="1:5">
      <c r="A110" s="1" t="s">
        <v>54</v>
      </c>
      <c r="B110" s="1" t="s">
        <v>55</v>
      </c>
      <c r="C110" s="1" t="s">
        <v>56</v>
      </c>
    </row>
    <row r="111" spans="1:5">
      <c r="A111" s="14" t="s">
        <v>177</v>
      </c>
      <c r="B111" s="48" t="s">
        <v>178</v>
      </c>
      <c r="C111" s="14" t="s">
        <v>179</v>
      </c>
    </row>
    <row r="112" spans="1:5">
      <c r="A112" s="14" t="s">
        <v>180</v>
      </c>
      <c r="B112" s="14" t="s">
        <v>181</v>
      </c>
      <c r="C112" s="14" t="s">
        <v>179</v>
      </c>
    </row>
    <row r="113" spans="1:5">
      <c r="A113" s="14" t="s">
        <v>182</v>
      </c>
      <c r="B113" s="14" t="s">
        <v>183</v>
      </c>
      <c r="C113" s="14" t="s">
        <v>179</v>
      </c>
    </row>
    <row r="114" spans="1:5">
      <c r="A114" s="14" t="s">
        <v>184</v>
      </c>
      <c r="B114" s="14" t="s">
        <v>185</v>
      </c>
      <c r="C114" s="14" t="s">
        <v>179</v>
      </c>
    </row>
    <row r="115" spans="1:5" ht="30" customHeight="1">
      <c r="A115" s="49" t="s">
        <v>74</v>
      </c>
      <c r="B115" s="49"/>
      <c r="C115" s="49"/>
      <c r="D115" s="49"/>
      <c r="E115" s="49"/>
    </row>
    <row r="116" spans="1:5">
      <c r="A116" s="1" t="s">
        <v>76</v>
      </c>
      <c r="B116" s="1" t="s">
        <v>77</v>
      </c>
    </row>
    <row r="117" spans="1:5" ht="34.35" customHeight="1">
      <c r="A117" s="14" t="s">
        <v>186</v>
      </c>
      <c r="B117" s="14" t="s">
        <v>187</v>
      </c>
    </row>
    <row r="118" spans="1:5" ht="34.35" customHeight="1">
      <c r="A118" s="14" t="s">
        <v>188</v>
      </c>
      <c r="B118" s="14" t="s">
        <v>189</v>
      </c>
    </row>
    <row r="119" spans="1:5" ht="34.35" customHeight="1">
      <c r="A119" s="14" t="s">
        <v>190</v>
      </c>
      <c r="B119" s="14" t="s">
        <v>191</v>
      </c>
    </row>
    <row r="120" spans="1:5" ht="27.95" customHeight="1">
      <c r="A120" s="50" t="s">
        <v>192</v>
      </c>
      <c r="B120" s="50"/>
      <c r="C120" s="50"/>
      <c r="D120" s="50"/>
      <c r="E120" s="50"/>
    </row>
  </sheetData>
  <mergeCells count="39">
    <mergeCell ref="A1:E1"/>
    <mergeCell ref="A2:E2"/>
    <mergeCell ref="A3:E3"/>
    <mergeCell ref="A4:E4"/>
    <mergeCell ref="A12:E12"/>
    <mergeCell ref="A20:E20"/>
    <mergeCell ref="A21:E21"/>
    <mergeCell ref="A24:E24"/>
    <mergeCell ref="A28:E28"/>
    <mergeCell ref="A30:E30"/>
    <mergeCell ref="A34:E34"/>
    <mergeCell ref="A37:E37"/>
    <mergeCell ref="A38:E38"/>
    <mergeCell ref="A49:E49"/>
    <mergeCell ref="A50:E50"/>
    <mergeCell ref="A51:E51"/>
    <mergeCell ref="A52:E52"/>
    <mergeCell ref="A57:E57"/>
    <mergeCell ref="A61:E61"/>
    <mergeCell ref="A62:E62"/>
    <mergeCell ref="A63:E63"/>
    <mergeCell ref="A64:E64"/>
    <mergeCell ref="A65:E65"/>
    <mergeCell ref="A67:E67"/>
    <mergeCell ref="A79:E79"/>
    <mergeCell ref="A88:E88"/>
    <mergeCell ref="A89:E89"/>
    <mergeCell ref="A96:E96"/>
    <mergeCell ref="A97:E97"/>
    <mergeCell ref="A98:E98"/>
    <mergeCell ref="A104:E104"/>
    <mergeCell ref="A109:E109"/>
    <mergeCell ref="A115:E115"/>
    <mergeCell ref="A120:E120"/>
    <mergeCell ref="A99:E99"/>
    <mergeCell ref="A100:E100"/>
    <mergeCell ref="A101:E101"/>
    <mergeCell ref="A102:E102"/>
    <mergeCell ref="A103:E103"/>
  </mergeCells>
  <hyperlinks>
    <hyperlink ref="C14" r:id="rId1" xr:uid="{00000000-0004-0000-0000-000000000000}"/>
    <hyperlink ref="C15" r:id="rId2" xr:uid="{00000000-0004-0000-0000-000001000000}"/>
    <hyperlink ref="C16" r:id="rId3" xr:uid="{00000000-0004-0000-0000-000002000000}"/>
    <hyperlink ref="C17" r:id="rId4" xr:uid="{00000000-0004-0000-0000-000003000000}"/>
    <hyperlink ref="C18" r:id="rId5" xr:uid="{00000000-0004-0000-0000-000004000000}"/>
    <hyperlink ref="B23" r:id="rId6" xr:uid="{00000000-0004-0000-0000-000005000000}"/>
    <hyperlink ref="B33" r:id="rId7" xr:uid="{00000000-0004-0000-0000-000007000000}"/>
    <hyperlink ref="B54" r:id="rId8" xr:uid="{00000000-0004-0000-0000-000008000000}"/>
    <hyperlink ref="B55" r:id="rId9" xr:uid="{00000000-0004-0000-0000-000009000000}"/>
    <hyperlink ref="B56" r:id="rId10" xr:uid="{00000000-0004-0000-0000-00000A000000}"/>
    <hyperlink ref="B69" r:id="rId11" xr:uid="{00000000-0004-0000-0000-00000B000000}"/>
    <hyperlink ref="B71" r:id="rId12" xr:uid="{00000000-0004-0000-0000-00000C000000}"/>
    <hyperlink ref="B72" r:id="rId13" xr:uid="{00000000-0004-0000-0000-00000D000000}"/>
    <hyperlink ref="B73" r:id="rId14" xr:uid="{00000000-0004-0000-0000-00000E000000}"/>
    <hyperlink ref="B74" r:id="rId15" xr:uid="{00000000-0004-0000-0000-00000F000000}"/>
    <hyperlink ref="B75" r:id="rId16" xr:uid="{00000000-0004-0000-0000-000010000000}"/>
    <hyperlink ref="B76" r:id="rId17" xr:uid="{00000000-0004-0000-0000-000011000000}"/>
    <hyperlink ref="B77" r:id="rId18" xr:uid="{00000000-0004-0000-0000-000012000000}"/>
    <hyperlink ref="B106" r:id="rId19" xr:uid="{00000000-0004-0000-0000-000013000000}"/>
    <hyperlink ref="B107" r:id="rId20" xr:uid="{00000000-0004-0000-0000-000014000000}"/>
    <hyperlink ref="B108" r:id="rId21" xr:uid="{00000000-0004-0000-0000-000015000000}"/>
    <hyperlink ref="B111" r:id="rId22" xr:uid="{73B7AC62-190B-4F7E-B2BD-EB9A505FD534}"/>
  </hyperlink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0"/>
  <sheetViews>
    <sheetView workbookViewId="0">
      <pane ySplit="4" topLeftCell="A5" activePane="bottomLeft" state="frozen"/>
      <selection pane="bottomLeft" activeCell="C6" sqref="C6"/>
    </sheetView>
  </sheetViews>
  <sheetFormatPr defaultRowHeight="15"/>
  <cols>
    <col min="1" max="1" width="26" customWidth="1"/>
    <col min="2" max="9" width="11" customWidth="1"/>
    <col min="10" max="12" width="13" customWidth="1"/>
  </cols>
  <sheetData>
    <row r="1" spans="1:12" ht="30" customHeight="1">
      <c r="A1" s="57" t="s">
        <v>193</v>
      </c>
      <c r="B1" s="57"/>
      <c r="C1" s="57"/>
      <c r="D1" s="57"/>
      <c r="E1" s="57"/>
      <c r="F1" s="57"/>
      <c r="G1" s="57"/>
      <c r="H1" s="57"/>
      <c r="I1" s="57"/>
      <c r="J1" s="57"/>
      <c r="K1" s="57"/>
      <c r="L1" s="57"/>
    </row>
    <row r="2" spans="1:12" ht="6" customHeight="1"/>
    <row r="3" spans="1:12" ht="32.1" customHeight="1">
      <c r="A3" s="15" t="s">
        <v>19</v>
      </c>
      <c r="B3" s="15" t="s">
        <v>22</v>
      </c>
      <c r="C3" s="15" t="s">
        <v>194</v>
      </c>
      <c r="D3" s="15" t="s">
        <v>16</v>
      </c>
      <c r="E3" s="15" t="s">
        <v>6</v>
      </c>
      <c r="F3" s="15" t="s">
        <v>8</v>
      </c>
      <c r="G3" s="15" t="s">
        <v>10</v>
      </c>
      <c r="H3" s="15" t="s">
        <v>12</v>
      </c>
      <c r="I3" s="15" t="s">
        <v>14</v>
      </c>
      <c r="J3" s="15" t="s">
        <v>195</v>
      </c>
      <c r="K3" s="15" t="s">
        <v>196</v>
      </c>
      <c r="L3" s="15" t="s">
        <v>197</v>
      </c>
    </row>
    <row r="4" spans="1:12" ht="3" customHeight="1"/>
    <row r="5" spans="1:12" ht="20.100000000000001" customHeight="1">
      <c r="A5" s="16" t="s">
        <v>24</v>
      </c>
      <c r="B5" s="17">
        <v>45</v>
      </c>
      <c r="C5" s="17">
        <f>COUNTIF(Eclyps!$C$2:$C$46,"Critical feature")</f>
        <v>15</v>
      </c>
      <c r="D5" s="17">
        <f>COUNTIF(Eclyps!$I$2:$I$46,"Not tested")</f>
        <v>0</v>
      </c>
      <c r="E5" s="18">
        <f>COUNTIF(Eclyps!$I$2:$I$46,"OK")</f>
        <v>21</v>
      </c>
      <c r="F5" s="17">
        <f>COUNTIF(Eclyps!$I$2:$I$46,"Partial")</f>
        <v>1</v>
      </c>
      <c r="G5" s="19">
        <f>COUNTIF(Eclyps!$I$2:$I$46,"KO")</f>
        <v>2</v>
      </c>
      <c r="H5" s="19">
        <f>COUNTIF(Eclyps!$I$2:$I$46,"Blocked")</f>
        <v>0</v>
      </c>
      <c r="I5" s="17">
        <f>COUNTIF(Eclyps!$I$2:$I$46,"N/A")</f>
        <v>21</v>
      </c>
      <c r="J5" s="20">
        <f>IF(B5=0,0,(B5-D5)/B5)</f>
        <v>1</v>
      </c>
      <c r="K5" s="20">
        <f>IF((B5-D5-I5)=0,"—",E5/(B5-D5-I5))</f>
        <v>0.875</v>
      </c>
      <c r="L5" s="21">
        <f>F5+G5+H5</f>
        <v>3</v>
      </c>
    </row>
    <row r="6" spans="1:12" ht="20.100000000000001" customHeight="1">
      <c r="A6" s="22" t="s">
        <v>28</v>
      </c>
      <c r="B6" s="23">
        <v>56</v>
      </c>
      <c r="C6" s="23">
        <f>COUNTIF(Dissonance!$C$2:$C$57,"Critical feature")</f>
        <v>27</v>
      </c>
      <c r="D6" s="23">
        <f>COUNTIF(Dissonance!$I$2:$I$57,"Not tested")</f>
        <v>0</v>
      </c>
      <c r="E6" s="24">
        <f>COUNTIF(Dissonance!$I$2:$I$57,"OK")</f>
        <v>43</v>
      </c>
      <c r="F6" s="23">
        <f>COUNTIF(Dissonance!$I$2:$I$57,"Partial")</f>
        <v>0</v>
      </c>
      <c r="G6" s="25">
        <f>COUNTIF(Dissonance!$I$2:$I$57,"KO")</f>
        <v>0</v>
      </c>
      <c r="H6" s="25">
        <f>COUNTIF(Dissonance!$I$2:$I$57,"Blocked")</f>
        <v>0</v>
      </c>
      <c r="I6" s="23">
        <f>COUNTIF(Dissonance!$I$2:$I$57,"N/A")</f>
        <v>13</v>
      </c>
      <c r="J6" s="26">
        <f>IF(B6=0,0,(B6-D6)/B6)</f>
        <v>1</v>
      </c>
      <c r="K6" s="26">
        <f>IF((B6-D6-I6)=0,"—",E6/(B6-D6-I6))</f>
        <v>1</v>
      </c>
      <c r="L6" s="27">
        <f>F6+G6+H6</f>
        <v>0</v>
      </c>
    </row>
    <row r="7" spans="1:12" ht="20.100000000000001" customHeight="1">
      <c r="A7" s="16" t="s">
        <v>32</v>
      </c>
      <c r="B7" s="17">
        <v>36</v>
      </c>
      <c r="C7" s="17">
        <f>COUNTIF(Pathly!$C$2:$C$37,"Critical feature")</f>
        <v>26</v>
      </c>
      <c r="D7" s="17">
        <f>COUNTIF(Pathly!$I$2:$I$37,"Not tested")</f>
        <v>0</v>
      </c>
      <c r="E7" s="18">
        <f>COUNTIF(Pathly!$I$2:$I$37,"OK")</f>
        <v>30</v>
      </c>
      <c r="F7" s="17">
        <f>COUNTIF(Pathly!$I$2:$I$37,"Partial")</f>
        <v>2</v>
      </c>
      <c r="G7" s="19">
        <f>COUNTIF(Pathly!$I$2:$I$37,"KO")</f>
        <v>1</v>
      </c>
      <c r="H7" s="19">
        <f>COUNTIF(Pathly!$I$2:$I$37,"Blocked")</f>
        <v>0</v>
      </c>
      <c r="I7" s="17">
        <f>COUNTIF(Pathly!$I$2:$I$37,"N/A")</f>
        <v>3</v>
      </c>
      <c r="J7" s="20">
        <f>IF(B7=0,0,(B7-D7)/B7)</f>
        <v>1</v>
      </c>
      <c r="K7" s="20">
        <f>IF((B7-D7-I7)=0,"—",E7/(B7-D7-I7))</f>
        <v>0.90909090909090906</v>
      </c>
      <c r="L7" s="21">
        <f>F7+G7+H7</f>
        <v>3</v>
      </c>
    </row>
    <row r="8" spans="1:12" ht="20.100000000000001" customHeight="1">
      <c r="A8" s="22" t="s">
        <v>36</v>
      </c>
      <c r="B8" s="23">
        <v>37</v>
      </c>
      <c r="C8" s="23">
        <f>COUNTIF(Horus!$C$2:$C$38,"Critical feature")</f>
        <v>25</v>
      </c>
      <c r="D8" s="23">
        <f>COUNTIF(Horus!$I$2:$I$38,"Not tested")</f>
        <v>0</v>
      </c>
      <c r="E8" s="24">
        <f>COUNTIF(Horus!$I$2:$I$38,"OK")</f>
        <v>28</v>
      </c>
      <c r="F8" s="23">
        <f>COUNTIF(Horus!$I$2:$I$38,"Partial")</f>
        <v>3</v>
      </c>
      <c r="G8" s="25">
        <f>COUNTIF(Horus!$I$2:$I$38,"KO")</f>
        <v>6</v>
      </c>
      <c r="H8" s="25">
        <f>COUNTIF(Horus!$I$2:$I$38,"Blocked")</f>
        <v>0</v>
      </c>
      <c r="I8" s="23">
        <f>COUNTIF(Horus!$I$2:$I$38,"N/A")</f>
        <v>0</v>
      </c>
      <c r="J8" s="26">
        <f>IF(B8=0,0,(B8-D8)/B8)</f>
        <v>1</v>
      </c>
      <c r="K8" s="26">
        <f>IF((B8-D8-I8)=0,"—",E8/(B8-D8-I8))</f>
        <v>0.7567567567567568</v>
      </c>
      <c r="L8" s="27">
        <f>F8+G8+H8</f>
        <v>9</v>
      </c>
    </row>
    <row r="9" spans="1:12" ht="20.100000000000001" customHeight="1">
      <c r="A9" s="16" t="s">
        <v>40</v>
      </c>
      <c r="B9" s="17">
        <v>44</v>
      </c>
      <c r="C9" s="17">
        <f>COUNTIF(FAS!$C$2:$C$45,"Critical feature")</f>
        <v>19</v>
      </c>
      <c r="D9" s="17">
        <f>COUNTIF(FAS!$I$2:$I$45,"Not tested")</f>
        <v>0</v>
      </c>
      <c r="E9" s="18">
        <f>COUNTIF(FAS!$I$2:$I$45,"OK")</f>
        <v>26</v>
      </c>
      <c r="F9" s="17">
        <f>COUNTIF(FAS!$I$2:$I$45,"Partial")</f>
        <v>3</v>
      </c>
      <c r="G9" s="19">
        <f>COUNTIF(FAS!$I$2:$I$45,"KO")</f>
        <v>1</v>
      </c>
      <c r="H9" s="19">
        <f>COUNTIF(FAS!$I$2:$I$45,"Blocked")</f>
        <v>0</v>
      </c>
      <c r="I9" s="17">
        <f>COUNTIF(FAS!$I$2:$I$45,"N/A")</f>
        <v>14</v>
      </c>
      <c r="J9" s="20">
        <f>IF(B9=0,0,(B9-D9)/B9)</f>
        <v>1</v>
      </c>
      <c r="K9" s="20">
        <f>IF((B9-D9-I9)=0,"—",E9/(B9-D9-I9))</f>
        <v>0.8666666666666667</v>
      </c>
      <c r="L9" s="21">
        <f>F9+G9+H9</f>
        <v>4</v>
      </c>
    </row>
    <row r="10" spans="1:12" ht="21.95" customHeight="1">
      <c r="A10" s="41" t="s">
        <v>44</v>
      </c>
      <c r="B10" s="42">
        <f>SUM(B5:B9)</f>
        <v>218</v>
      </c>
      <c r="C10" s="42">
        <f>SUM(C5:C9)</f>
        <v>112</v>
      </c>
      <c r="D10" s="42">
        <f>SUM(D5:D9)</f>
        <v>0</v>
      </c>
      <c r="E10" s="42">
        <f>SUM(E5:E9)</f>
        <v>148</v>
      </c>
      <c r="F10" s="42">
        <f>SUM(F5:F9)</f>
        <v>9</v>
      </c>
      <c r="G10" s="42">
        <f>SUM(G5:G9)</f>
        <v>10</v>
      </c>
      <c r="H10" s="42">
        <f>SUM(H5:H9)</f>
        <v>0</v>
      </c>
      <c r="I10" s="42">
        <f>SUM(I5:I9)</f>
        <v>51</v>
      </c>
      <c r="J10" s="43">
        <f>IF(B10=0,0,(B10-D10)/B10)</f>
        <v>1</v>
      </c>
      <c r="K10" s="43">
        <f>IF((B10-D10-I10)=0,"—",E10/(B10-D10-I10))</f>
        <v>0.88622754491017963</v>
      </c>
      <c r="L10" s="42">
        <f>SUM(L5:L9)</f>
        <v>19</v>
      </c>
    </row>
    <row r="12" spans="1:12" ht="18" customHeight="1">
      <c r="A12" s="58" t="s">
        <v>198</v>
      </c>
      <c r="B12" s="58"/>
      <c r="C12" s="58"/>
      <c r="D12" s="58"/>
      <c r="E12" s="58"/>
      <c r="F12" s="58"/>
      <c r="G12" s="58"/>
      <c r="H12" s="58"/>
      <c r="I12" s="58"/>
      <c r="J12" s="58"/>
      <c r="K12" s="58"/>
      <c r="L12" s="58"/>
    </row>
    <row r="14" spans="1:12" ht="21.95" customHeight="1">
      <c r="A14" s="59" t="s">
        <v>199</v>
      </c>
      <c r="B14" s="59"/>
      <c r="C14" s="59"/>
      <c r="D14" s="59"/>
      <c r="E14" s="59"/>
      <c r="F14" s="59"/>
      <c r="G14" s="59"/>
      <c r="H14" s="59"/>
      <c r="I14" s="59"/>
      <c r="J14" s="59"/>
      <c r="K14" s="59"/>
      <c r="L14" s="59"/>
    </row>
    <row r="15" spans="1:12" ht="30" customHeight="1">
      <c r="A15" s="44" t="s">
        <v>19</v>
      </c>
      <c r="B15" s="44" t="s">
        <v>194</v>
      </c>
      <c r="C15" s="44" t="s">
        <v>16</v>
      </c>
      <c r="D15" s="44" t="s">
        <v>6</v>
      </c>
      <c r="E15" s="44" t="s">
        <v>8</v>
      </c>
      <c r="F15" s="44" t="s">
        <v>10</v>
      </c>
      <c r="G15" s="44" t="s">
        <v>12</v>
      </c>
      <c r="H15" s="44" t="s">
        <v>14</v>
      </c>
      <c r="I15" s="44" t="s">
        <v>200</v>
      </c>
      <c r="J15" s="44" t="s">
        <v>201</v>
      </c>
    </row>
    <row r="16" spans="1:12" ht="20.100000000000001" customHeight="1">
      <c r="A16" s="16" t="s">
        <v>24</v>
      </c>
      <c r="B16" s="17">
        <f>COUNTIF(Eclyps!$C$2:$C$46,"Critical feature")</f>
        <v>15</v>
      </c>
      <c r="C16" s="17">
        <f>COUNTIFS(Eclyps!$C$2:$C$46,"Critical feature",Eclyps!$I$2:$I$46,"Not tested")</f>
        <v>0</v>
      </c>
      <c r="D16" s="18">
        <f>COUNTIFS(Eclyps!$C$2:$C$46,"Critical feature",Eclyps!$I$2:$I$46,"OK")</f>
        <v>11</v>
      </c>
      <c r="E16" s="17">
        <f>COUNTIFS(Eclyps!$C$2:$C$46,"Critical feature",Eclyps!$I$2:$I$46,"Partial")</f>
        <v>1</v>
      </c>
      <c r="F16" s="19">
        <f>COUNTIFS(Eclyps!$C$2:$C$46,"Critical feature",Eclyps!$I$2:$I$46,"KO")</f>
        <v>0</v>
      </c>
      <c r="G16" s="17">
        <f>COUNTIFS(Eclyps!$C$2:$C$46,"Critical feature",Eclyps!$I$2:$I$46,"Blocked")</f>
        <v>0</v>
      </c>
      <c r="H16" s="17">
        <f>COUNTIFS(Eclyps!$C$2:$C$46,"Critical feature",Eclyps!$I$2:$I$46,"N/A")</f>
        <v>3</v>
      </c>
      <c r="I16" s="20">
        <f>IF(B16=0,0,(B16-C16)/B16)</f>
        <v>1</v>
      </c>
      <c r="J16" s="20">
        <f>IF((B16-C16-H16)=0,"—",D16/(B16-C16-H16))</f>
        <v>0.91666666666666663</v>
      </c>
    </row>
    <row r="17" spans="1:10" ht="20.100000000000001" customHeight="1">
      <c r="A17" s="22" t="s">
        <v>28</v>
      </c>
      <c r="B17" s="23">
        <f>COUNTIF(Dissonance!$C$2:$C$57,"Critical feature")</f>
        <v>27</v>
      </c>
      <c r="C17" s="23">
        <f>COUNTIFS(Dissonance!$C$2:$C$57,"Critical feature",Dissonance!$I$2:$I$57,"Not tested")</f>
        <v>0</v>
      </c>
      <c r="D17" s="24">
        <f>COUNTIFS(Dissonance!$C$2:$C$57,"Critical feature",Dissonance!$I$2:$I$57,"OK")</f>
        <v>21</v>
      </c>
      <c r="E17" s="23">
        <f>COUNTIFS(Dissonance!$C$2:$C$57,"Critical feature",Dissonance!$I$2:$I$57,"Partial")</f>
        <v>0</v>
      </c>
      <c r="F17" s="25">
        <f>COUNTIFS(Dissonance!$C$2:$C$57,"Critical feature",Dissonance!$I$2:$I$57,"KO")</f>
        <v>0</v>
      </c>
      <c r="G17" s="23">
        <f>COUNTIFS(Dissonance!$C$2:$C$57,"Critical feature",Dissonance!$I$2:$I$57,"Blocked")</f>
        <v>0</v>
      </c>
      <c r="H17" s="23">
        <f>COUNTIFS(Dissonance!$C$2:$C$57,"Critical feature",Dissonance!$I$2:$I$57,"N/A")</f>
        <v>6</v>
      </c>
      <c r="I17" s="26">
        <f>IF(B17=0,0,(B17-C17)/B17)</f>
        <v>1</v>
      </c>
      <c r="J17" s="26">
        <f>IF((B17-C17-H17)=0,"—",D17/(B17-C17-H17))</f>
        <v>1</v>
      </c>
    </row>
    <row r="18" spans="1:10" ht="20.100000000000001" customHeight="1">
      <c r="A18" s="16" t="s">
        <v>32</v>
      </c>
      <c r="B18" s="17">
        <f>COUNTIF(Pathly!$C$2:$C$37,"Critical feature")</f>
        <v>26</v>
      </c>
      <c r="C18" s="17">
        <f>COUNTIFS(Pathly!$C$2:$C$37,"Critical feature",Pathly!$I$2:$I$37,"Not tested")</f>
        <v>0</v>
      </c>
      <c r="D18" s="18">
        <f>COUNTIFS(Pathly!$C$2:$C$37,"Critical feature",Pathly!$I$2:$I$37,"OK")</f>
        <v>23</v>
      </c>
      <c r="E18" s="17">
        <f>COUNTIFS(Pathly!$C$2:$C$37,"Critical feature",Pathly!$I$2:$I$37,"Partial")</f>
        <v>2</v>
      </c>
      <c r="F18" s="19">
        <f>COUNTIFS(Pathly!$C$2:$C$37,"Critical feature",Pathly!$I$2:$I$37,"KO")</f>
        <v>1</v>
      </c>
      <c r="G18" s="17">
        <f>COUNTIFS(Pathly!$C$2:$C$37,"Critical feature",Pathly!$I$2:$I$37,"Blocked")</f>
        <v>0</v>
      </c>
      <c r="H18" s="17">
        <f>COUNTIFS(Pathly!$C$2:$C$37,"Critical feature",Pathly!$I$2:$I$37,"N/A")</f>
        <v>0</v>
      </c>
      <c r="I18" s="20">
        <f>IF(B18=0,0,(B18-C18)/B18)</f>
        <v>1</v>
      </c>
      <c r="J18" s="20">
        <f>IF((B18-C18-H18)=0,"—",D18/(B18-C18-H18))</f>
        <v>0.88461538461538458</v>
      </c>
    </row>
    <row r="19" spans="1:10" ht="20.100000000000001" customHeight="1">
      <c r="A19" s="22" t="s">
        <v>36</v>
      </c>
      <c r="B19" s="23">
        <f>COUNTIF(Horus!$C$2:$C$38,"Critical feature")</f>
        <v>25</v>
      </c>
      <c r="C19" s="23">
        <f>COUNTIFS(Horus!$C$2:$C$38,"Critical feature",Horus!$I$2:$I$38,"Not tested")</f>
        <v>0</v>
      </c>
      <c r="D19" s="24">
        <f>COUNTIFS(Horus!$C$2:$C$38,"Critical feature",Horus!$I$2:$I$38,"OK")</f>
        <v>21</v>
      </c>
      <c r="E19" s="23">
        <f>COUNTIFS(Horus!$C$2:$C$38,"Critical feature",Horus!$I$2:$I$38,"Partial")</f>
        <v>0</v>
      </c>
      <c r="F19" s="25">
        <f>COUNTIFS(Horus!$C$2:$C$38,"Critical feature",Horus!$I$2:$I$38,"KO")</f>
        <v>4</v>
      </c>
      <c r="G19" s="23">
        <f>COUNTIFS(Horus!$C$2:$C$38,"Critical feature",Horus!$I$2:$I$38,"Blocked")</f>
        <v>0</v>
      </c>
      <c r="H19" s="23">
        <f>COUNTIFS(Horus!$C$2:$C$38,"Critical feature",Horus!$I$2:$I$38,"N/A")</f>
        <v>0</v>
      </c>
      <c r="I19" s="26">
        <f>IF(B19=0,0,(B19-C19)/B19)</f>
        <v>1</v>
      </c>
      <c r="J19" s="26">
        <f>IF((B19-C19-H19)=0,"—",D19/(B19-C19-H19))</f>
        <v>0.84</v>
      </c>
    </row>
    <row r="20" spans="1:10" ht="20.100000000000001" customHeight="1">
      <c r="A20" s="16" t="s">
        <v>40</v>
      </c>
      <c r="B20" s="17">
        <f>COUNTIF(FAS!$C$2:$C$45,"Critical feature")</f>
        <v>19</v>
      </c>
      <c r="C20" s="17">
        <f>COUNTIFS(FAS!$C$2:$C$45,"Critical feature",FAS!$I$2:$I$45,"Not tested")</f>
        <v>0</v>
      </c>
      <c r="D20" s="18">
        <f>COUNTIFS(FAS!$C$2:$C$45,"Critical feature",FAS!$I$2:$I$45,"OK")</f>
        <v>13</v>
      </c>
      <c r="E20" s="17">
        <f>COUNTIFS(FAS!$C$2:$C$45,"Critical feature",FAS!$I$2:$I$45,"Partial")</f>
        <v>2</v>
      </c>
      <c r="F20" s="19">
        <f>COUNTIFS(FAS!$C$2:$C$45,"Critical feature",FAS!$I$2:$I$45,"KO")</f>
        <v>0</v>
      </c>
      <c r="G20" s="17">
        <f>COUNTIFS(FAS!$C$2:$C$45,"Critical feature",FAS!$I$2:$I$45,"Blocked")</f>
        <v>0</v>
      </c>
      <c r="H20" s="17">
        <f>COUNTIFS(FAS!$C$2:$C$45,"Critical feature",FAS!$I$2:$I$45,"N/A")</f>
        <v>4</v>
      </c>
      <c r="I20" s="17">
        <f>COUNTIFS(FAS!$C$2:$C$45,"Critical feature",FAS!$I$2:$I$45,"N/A")</f>
        <v>4</v>
      </c>
      <c r="J20" s="20">
        <f>IF((B20-C20-H20)=0,"—",D20/(B20-C20-H20))</f>
        <v>0.8666666666666667</v>
      </c>
    </row>
  </sheetData>
  <mergeCells count="3">
    <mergeCell ref="A1:L1"/>
    <mergeCell ref="A12:L12"/>
    <mergeCell ref="A14:L14"/>
  </mergeCells>
  <conditionalFormatting sqref="J5:J9">
    <cfRule type="dataBar" priority="1">
      <dataBar>
        <cfvo type="num" val="0"/>
        <cfvo type="num" val="1"/>
        <color rgb="FF63A375"/>
      </dataBar>
      <extLst>
        <ext xmlns:x14="http://schemas.microsoft.com/office/spreadsheetml/2009/9/main" uri="{B025F937-C7B1-47D3-B67F-A62EFF666E3E}">
          <x14:id>{2EBF7ACB-C42C-456D-B14C-85B0E8528D50}</x14:id>
        </ext>
      </extLst>
    </cfRule>
  </conditionalFormatting>
  <conditionalFormatting sqref="L5:L9">
    <cfRule type="cellIs" dxfId="40" priority="2" operator="greaterThan">
      <formula>0</formula>
    </cfRule>
  </conditionalFormatting>
  <conditionalFormatting sqref="I16:J19 J20">
    <cfRule type="dataBar" priority="3">
      <dataBar>
        <cfvo type="num" val="0"/>
        <cfvo type="num" val="1"/>
        <color rgb="FF63A375"/>
      </dataBar>
      <extLst>
        <ext xmlns:x14="http://schemas.microsoft.com/office/spreadsheetml/2009/9/main" uri="{B025F937-C7B1-47D3-B67F-A62EFF666E3E}">
          <x14:id>{0AD87A72-4777-452C-BFF9-72ACDE6F6B5F}</x14:id>
        </ext>
      </extLst>
    </cfRule>
  </conditionalFormatting>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dataBar" id="{2EBF7ACB-C42C-456D-B14C-85B0E8528D50}">
            <x14:dataBar minLength="0" maxLength="100">
              <x14:cfvo type="num">
                <xm:f>0</xm:f>
              </x14:cfvo>
              <x14:cfvo type="num">
                <xm:f>1</xm:f>
              </x14:cfvo>
              <x14:negativeFillColor auto="1"/>
              <x14:axisColor auto="1"/>
            </x14:dataBar>
          </x14:cfRule>
          <xm:sqref>J5:J9</xm:sqref>
        </x14:conditionalFormatting>
        <x14:conditionalFormatting xmlns:xm="http://schemas.microsoft.com/office/excel/2006/main">
          <x14:cfRule type="dataBar" id="{0AD87A72-4777-452C-BFF9-72ACDE6F6B5F}">
            <x14:dataBar minLength="0" maxLength="100">
              <x14:cfvo type="num">
                <xm:f>0</xm:f>
              </x14:cfvo>
              <x14:cfvo type="num">
                <xm:f>1</xm:f>
              </x14:cfvo>
              <x14:negativeFillColor auto="1"/>
              <x14:axisColor auto="1"/>
            </x14:dataBar>
          </x14:cfRule>
          <xm:sqref>I16:J19 J20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46"/>
  <sheetViews>
    <sheetView workbookViewId="0">
      <pane xSplit="2" ySplit="1" topLeftCell="C2" activePane="bottomRight" state="frozen"/>
      <selection pane="bottomRight" activeCell="J2" sqref="J2"/>
      <selection pane="bottomLeft"/>
      <selection pane="topRight"/>
    </sheetView>
  </sheetViews>
  <sheetFormatPr defaultRowHeight="15"/>
  <cols>
    <col min="2" max="2" width="27" customWidth="1"/>
    <col min="3" max="3" width="15" customWidth="1"/>
    <col min="4" max="4" width="13" customWidth="1"/>
    <col min="5" max="6" width="32" customWidth="1"/>
    <col min="7" max="7" width="50" customWidth="1"/>
    <col min="8" max="8" width="40" customWidth="1"/>
    <col min="9" max="9" width="13" customWidth="1"/>
    <col min="10" max="10" width="12" customWidth="1"/>
    <col min="11" max="11" width="52" customWidth="1"/>
  </cols>
  <sheetData>
    <row r="1" spans="1:11" ht="30" customHeight="1">
      <c r="A1" s="15" t="s">
        <v>202</v>
      </c>
      <c r="B1" s="15" t="s">
        <v>203</v>
      </c>
      <c r="C1" s="15" t="s">
        <v>204</v>
      </c>
      <c r="D1" s="15" t="s">
        <v>205</v>
      </c>
      <c r="E1" s="15" t="s">
        <v>206</v>
      </c>
      <c r="F1" s="15" t="s">
        <v>207</v>
      </c>
      <c r="G1" s="15" t="s">
        <v>208</v>
      </c>
      <c r="H1" s="15" t="s">
        <v>209</v>
      </c>
      <c r="I1" s="45" t="s">
        <v>210</v>
      </c>
      <c r="J1" s="45" t="s">
        <v>211</v>
      </c>
      <c r="K1" s="45" t="s">
        <v>212</v>
      </c>
    </row>
    <row r="2" spans="1:11" ht="83.65" customHeight="1">
      <c r="A2" s="28" t="s">
        <v>213</v>
      </c>
      <c r="B2" s="13" t="s">
        <v>214</v>
      </c>
      <c r="C2" s="29" t="s">
        <v>215</v>
      </c>
      <c r="D2" s="30" t="s">
        <v>216</v>
      </c>
      <c r="E2" s="14" t="s">
        <v>217</v>
      </c>
      <c r="F2" s="14" t="s">
        <v>218</v>
      </c>
      <c r="G2" s="14" t="s">
        <v>219</v>
      </c>
      <c r="H2" s="14" t="s">
        <v>220</v>
      </c>
      <c r="I2" s="46" t="s">
        <v>6</v>
      </c>
      <c r="J2" s="31" t="s">
        <v>45</v>
      </c>
      <c r="K2" s="32" t="s">
        <v>45</v>
      </c>
    </row>
    <row r="3" spans="1:11" ht="45.75" customHeight="1">
      <c r="A3" s="33" t="s">
        <v>221</v>
      </c>
      <c r="B3" s="47" t="s">
        <v>222</v>
      </c>
      <c r="C3" s="34" t="s">
        <v>223</v>
      </c>
      <c r="D3" s="30" t="s">
        <v>216</v>
      </c>
      <c r="E3" s="35" t="s">
        <v>224</v>
      </c>
      <c r="F3" s="35" t="s">
        <v>225</v>
      </c>
      <c r="G3" s="35" t="s">
        <v>226</v>
      </c>
      <c r="H3" s="35" t="s">
        <v>227</v>
      </c>
      <c r="I3" s="46" t="s">
        <v>6</v>
      </c>
      <c r="J3" s="31" t="s">
        <v>45</v>
      </c>
      <c r="K3" s="32" t="s">
        <v>45</v>
      </c>
    </row>
    <row r="4" spans="1:11" ht="83.65" customHeight="1">
      <c r="A4" s="28" t="s">
        <v>228</v>
      </c>
      <c r="B4" s="13" t="s">
        <v>229</v>
      </c>
      <c r="C4" s="29" t="s">
        <v>230</v>
      </c>
      <c r="D4" s="30" t="s">
        <v>216</v>
      </c>
      <c r="E4" s="14" t="s">
        <v>231</v>
      </c>
      <c r="F4" s="14" t="s">
        <v>232</v>
      </c>
      <c r="G4" s="14" t="s">
        <v>233</v>
      </c>
      <c r="H4" s="14" t="s">
        <v>234</v>
      </c>
      <c r="I4" s="46" t="s">
        <v>6</v>
      </c>
      <c r="J4" s="31" t="s">
        <v>45</v>
      </c>
      <c r="K4" s="32" t="s">
        <v>235</v>
      </c>
    </row>
    <row r="5" spans="1:11" ht="83.65" customHeight="1">
      <c r="A5" s="33" t="s">
        <v>236</v>
      </c>
      <c r="B5" s="47" t="s">
        <v>237</v>
      </c>
      <c r="C5" s="34" t="s">
        <v>230</v>
      </c>
      <c r="D5" s="30" t="s">
        <v>216</v>
      </c>
      <c r="E5" s="35" t="s">
        <v>238</v>
      </c>
      <c r="F5" s="35" t="s">
        <v>232</v>
      </c>
      <c r="G5" s="35" t="s">
        <v>239</v>
      </c>
      <c r="H5" s="35" t="s">
        <v>240</v>
      </c>
      <c r="I5" s="46" t="s">
        <v>6</v>
      </c>
      <c r="J5" s="31" t="s">
        <v>45</v>
      </c>
      <c r="K5" s="32" t="s">
        <v>45</v>
      </c>
    </row>
    <row r="6" spans="1:11" ht="96.2" customHeight="1">
      <c r="A6" s="28" t="s">
        <v>241</v>
      </c>
      <c r="B6" s="13" t="s">
        <v>242</v>
      </c>
      <c r="C6" s="29" t="s">
        <v>230</v>
      </c>
      <c r="D6" s="30" t="s">
        <v>216</v>
      </c>
      <c r="E6" s="14" t="s">
        <v>243</v>
      </c>
      <c r="F6" s="14" t="s">
        <v>232</v>
      </c>
      <c r="G6" s="14" t="s">
        <v>244</v>
      </c>
      <c r="H6" s="14" t="s">
        <v>245</v>
      </c>
      <c r="I6" s="46" t="s">
        <v>6</v>
      </c>
      <c r="J6" s="31" t="s">
        <v>45</v>
      </c>
      <c r="K6" s="32" t="s">
        <v>45</v>
      </c>
    </row>
    <row r="7" spans="1:11" ht="71.099999999999994" customHeight="1">
      <c r="A7" s="33" t="s">
        <v>246</v>
      </c>
      <c r="B7" s="47" t="s">
        <v>247</v>
      </c>
      <c r="C7" s="34" t="s">
        <v>230</v>
      </c>
      <c r="D7" s="30" t="s">
        <v>216</v>
      </c>
      <c r="E7" s="35" t="s">
        <v>248</v>
      </c>
      <c r="F7" s="35" t="s">
        <v>232</v>
      </c>
      <c r="G7" s="35" t="s">
        <v>249</v>
      </c>
      <c r="H7" s="35" t="s">
        <v>250</v>
      </c>
      <c r="I7" s="46" t="s">
        <v>6</v>
      </c>
      <c r="J7" s="31" t="s">
        <v>45</v>
      </c>
      <c r="K7" s="32" t="s">
        <v>45</v>
      </c>
    </row>
    <row r="8" spans="1:11" ht="83.65" customHeight="1">
      <c r="A8" s="28" t="s">
        <v>251</v>
      </c>
      <c r="B8" s="13" t="s">
        <v>252</v>
      </c>
      <c r="C8" s="29" t="s">
        <v>230</v>
      </c>
      <c r="D8" s="30" t="s">
        <v>216</v>
      </c>
      <c r="E8" s="14" t="s">
        <v>253</v>
      </c>
      <c r="F8" s="14" t="s">
        <v>232</v>
      </c>
      <c r="G8" s="14" t="s">
        <v>254</v>
      </c>
      <c r="H8" s="14" t="s">
        <v>255</v>
      </c>
      <c r="I8" s="46" t="s">
        <v>6</v>
      </c>
      <c r="J8" s="31" t="s">
        <v>45</v>
      </c>
      <c r="K8" s="32" t="s">
        <v>45</v>
      </c>
    </row>
    <row r="9" spans="1:11" ht="83.65" customHeight="1">
      <c r="A9" s="33" t="s">
        <v>256</v>
      </c>
      <c r="B9" s="47" t="s">
        <v>257</v>
      </c>
      <c r="C9" s="34" t="s">
        <v>215</v>
      </c>
      <c r="D9" s="30" t="s">
        <v>216</v>
      </c>
      <c r="E9" s="35" t="s">
        <v>258</v>
      </c>
      <c r="F9" s="35" t="s">
        <v>259</v>
      </c>
      <c r="G9" s="35" t="s">
        <v>260</v>
      </c>
      <c r="H9" s="35" t="s">
        <v>261</v>
      </c>
      <c r="I9" s="46" t="s">
        <v>14</v>
      </c>
      <c r="J9" s="31" t="s">
        <v>45</v>
      </c>
      <c r="K9" s="32" t="s">
        <v>262</v>
      </c>
    </row>
    <row r="10" spans="1:11" ht="83.65" customHeight="1">
      <c r="A10" s="28" t="s">
        <v>263</v>
      </c>
      <c r="B10" s="13" t="s">
        <v>264</v>
      </c>
      <c r="C10" s="29" t="s">
        <v>215</v>
      </c>
      <c r="D10" s="30" t="s">
        <v>216</v>
      </c>
      <c r="E10" s="14" t="s">
        <v>265</v>
      </c>
      <c r="F10" s="14" t="s">
        <v>266</v>
      </c>
      <c r="G10" s="14" t="s">
        <v>267</v>
      </c>
      <c r="H10" s="14" t="s">
        <v>268</v>
      </c>
      <c r="I10" s="46" t="s">
        <v>6</v>
      </c>
      <c r="J10" s="31" t="s">
        <v>45</v>
      </c>
      <c r="K10" s="32" t="s">
        <v>45</v>
      </c>
    </row>
    <row r="11" spans="1:11" ht="71.099999999999994" customHeight="1">
      <c r="A11" s="33" t="s">
        <v>269</v>
      </c>
      <c r="B11" s="47" t="s">
        <v>270</v>
      </c>
      <c r="C11" s="34" t="s">
        <v>223</v>
      </c>
      <c r="D11" s="30" t="s">
        <v>216</v>
      </c>
      <c r="E11" s="35" t="s">
        <v>271</v>
      </c>
      <c r="F11" s="35" t="s">
        <v>272</v>
      </c>
      <c r="G11" s="35" t="s">
        <v>273</v>
      </c>
      <c r="H11" s="35" t="s">
        <v>274</v>
      </c>
      <c r="I11" s="46" t="s">
        <v>6</v>
      </c>
      <c r="J11" s="31" t="s">
        <v>45</v>
      </c>
      <c r="K11" s="32" t="s">
        <v>45</v>
      </c>
    </row>
    <row r="12" spans="1:11" ht="71.099999999999994" customHeight="1">
      <c r="A12" s="28" t="s">
        <v>275</v>
      </c>
      <c r="B12" s="13" t="s">
        <v>276</v>
      </c>
      <c r="C12" s="29" t="s">
        <v>223</v>
      </c>
      <c r="D12" s="30" t="s">
        <v>216</v>
      </c>
      <c r="E12" s="14" t="s">
        <v>277</v>
      </c>
      <c r="F12" s="14" t="s">
        <v>278</v>
      </c>
      <c r="G12" s="14" t="s">
        <v>279</v>
      </c>
      <c r="H12" s="14" t="s">
        <v>280</v>
      </c>
      <c r="I12" s="46" t="s">
        <v>6</v>
      </c>
      <c r="J12" s="31" t="s">
        <v>45</v>
      </c>
      <c r="K12" s="32" t="s">
        <v>45</v>
      </c>
    </row>
    <row r="13" spans="1:11" ht="96.2" customHeight="1">
      <c r="A13" s="33" t="s">
        <v>281</v>
      </c>
      <c r="B13" s="47" t="s">
        <v>282</v>
      </c>
      <c r="C13" s="34" t="s">
        <v>223</v>
      </c>
      <c r="D13" s="30" t="s">
        <v>216</v>
      </c>
      <c r="E13" s="35" t="s">
        <v>283</v>
      </c>
      <c r="F13" s="35" t="s">
        <v>284</v>
      </c>
      <c r="G13" s="35" t="s">
        <v>285</v>
      </c>
      <c r="H13" s="35" t="s">
        <v>286</v>
      </c>
      <c r="I13" s="46" t="s">
        <v>6</v>
      </c>
      <c r="J13" s="31" t="s">
        <v>45</v>
      </c>
      <c r="K13" s="32" t="s">
        <v>45</v>
      </c>
    </row>
    <row r="14" spans="1:11" ht="71.099999999999994" customHeight="1">
      <c r="A14" s="28" t="s">
        <v>287</v>
      </c>
      <c r="B14" s="13" t="s">
        <v>288</v>
      </c>
      <c r="C14" s="29" t="s">
        <v>223</v>
      </c>
      <c r="D14" s="30" t="s">
        <v>216</v>
      </c>
      <c r="E14" s="14" t="s">
        <v>289</v>
      </c>
      <c r="F14" s="14" t="s">
        <v>290</v>
      </c>
      <c r="G14" s="14" t="s">
        <v>291</v>
      </c>
      <c r="H14" s="14" t="s">
        <v>292</v>
      </c>
      <c r="I14" s="46" t="s">
        <v>6</v>
      </c>
      <c r="J14" s="31" t="s">
        <v>45</v>
      </c>
      <c r="K14" s="32" t="s">
        <v>45</v>
      </c>
    </row>
    <row r="15" spans="1:11" ht="71.099999999999994" customHeight="1">
      <c r="A15" s="33" t="s">
        <v>293</v>
      </c>
      <c r="B15" s="47" t="s">
        <v>294</v>
      </c>
      <c r="C15" s="34" t="s">
        <v>223</v>
      </c>
      <c r="D15" s="30" t="s">
        <v>216</v>
      </c>
      <c r="E15" s="35" t="s">
        <v>295</v>
      </c>
      <c r="F15" s="35" t="s">
        <v>296</v>
      </c>
      <c r="G15" s="35" t="s">
        <v>297</v>
      </c>
      <c r="H15" s="35" t="s">
        <v>298</v>
      </c>
      <c r="I15" s="46" t="s">
        <v>6</v>
      </c>
      <c r="J15" s="31" t="s">
        <v>45</v>
      </c>
      <c r="K15" s="32" t="s">
        <v>45</v>
      </c>
    </row>
    <row r="16" spans="1:11" ht="96.2" customHeight="1">
      <c r="A16" s="28" t="s">
        <v>299</v>
      </c>
      <c r="B16" s="13" t="s">
        <v>300</v>
      </c>
      <c r="C16" s="29" t="s">
        <v>223</v>
      </c>
      <c r="D16" s="30" t="s">
        <v>216</v>
      </c>
      <c r="E16" s="14" t="s">
        <v>301</v>
      </c>
      <c r="F16" s="14" t="s">
        <v>302</v>
      </c>
      <c r="G16" s="14" t="s">
        <v>303</v>
      </c>
      <c r="H16" s="14" t="s">
        <v>304</v>
      </c>
      <c r="I16" s="46" t="s">
        <v>6</v>
      </c>
      <c r="J16" s="31" t="s">
        <v>45</v>
      </c>
      <c r="K16" s="32" t="s">
        <v>45</v>
      </c>
    </row>
    <row r="17" spans="1:11" ht="71.099999999999994" customHeight="1">
      <c r="A17" s="33" t="s">
        <v>305</v>
      </c>
      <c r="B17" s="47" t="s">
        <v>306</v>
      </c>
      <c r="C17" s="34" t="s">
        <v>223</v>
      </c>
      <c r="D17" s="30" t="s">
        <v>216</v>
      </c>
      <c r="E17" s="35" t="s">
        <v>307</v>
      </c>
      <c r="F17" s="35" t="s">
        <v>308</v>
      </c>
      <c r="G17" s="35" t="s">
        <v>309</v>
      </c>
      <c r="H17" s="35" t="s">
        <v>310</v>
      </c>
      <c r="I17" s="46" t="s">
        <v>6</v>
      </c>
      <c r="J17" s="31" t="s">
        <v>45</v>
      </c>
      <c r="K17" s="32" t="s">
        <v>45</v>
      </c>
    </row>
    <row r="18" spans="1:11" ht="58.35" customHeight="1">
      <c r="A18" s="28" t="s">
        <v>311</v>
      </c>
      <c r="B18" s="13" t="s">
        <v>312</v>
      </c>
      <c r="C18" s="29" t="s">
        <v>223</v>
      </c>
      <c r="D18" s="30" t="s">
        <v>216</v>
      </c>
      <c r="E18" s="14" t="s">
        <v>313</v>
      </c>
      <c r="F18" s="14" t="s">
        <v>314</v>
      </c>
      <c r="G18" s="14" t="s">
        <v>315</v>
      </c>
      <c r="H18" s="14" t="s">
        <v>316</v>
      </c>
      <c r="I18" s="46" t="s">
        <v>6</v>
      </c>
      <c r="J18" s="31" t="s">
        <v>45</v>
      </c>
      <c r="K18" s="32" t="s">
        <v>45</v>
      </c>
    </row>
    <row r="19" spans="1:11" ht="71.099999999999994" customHeight="1">
      <c r="A19" s="33" t="s">
        <v>317</v>
      </c>
      <c r="B19" s="47" t="s">
        <v>318</v>
      </c>
      <c r="C19" s="34" t="s">
        <v>223</v>
      </c>
      <c r="D19" s="30" t="s">
        <v>216</v>
      </c>
      <c r="E19" s="35" t="s">
        <v>319</v>
      </c>
      <c r="F19" s="35" t="s">
        <v>320</v>
      </c>
      <c r="G19" s="35" t="s">
        <v>321</v>
      </c>
      <c r="H19" s="35" t="s">
        <v>322</v>
      </c>
      <c r="I19" s="46" t="s">
        <v>8</v>
      </c>
      <c r="J19" s="31"/>
      <c r="K19" s="32" t="s">
        <v>323</v>
      </c>
    </row>
    <row r="20" spans="1:11" ht="83.65" customHeight="1">
      <c r="A20" s="28" t="s">
        <v>324</v>
      </c>
      <c r="B20" s="13" t="s">
        <v>325</v>
      </c>
      <c r="C20" s="29" t="s">
        <v>223</v>
      </c>
      <c r="D20" s="30" t="s">
        <v>216</v>
      </c>
      <c r="E20" s="14" t="s">
        <v>326</v>
      </c>
      <c r="F20" s="14" t="s">
        <v>327</v>
      </c>
      <c r="G20" s="14" t="s">
        <v>328</v>
      </c>
      <c r="H20" s="14" t="s">
        <v>329</v>
      </c>
      <c r="I20" s="46" t="s">
        <v>6</v>
      </c>
      <c r="J20" s="31" t="s">
        <v>45</v>
      </c>
      <c r="K20" s="32" t="s">
        <v>45</v>
      </c>
    </row>
    <row r="21" spans="1:11" ht="71.099999999999994" customHeight="1">
      <c r="A21" s="33" t="s">
        <v>330</v>
      </c>
      <c r="B21" s="47" t="s">
        <v>331</v>
      </c>
      <c r="C21" s="34" t="s">
        <v>332</v>
      </c>
      <c r="D21" s="36" t="s">
        <v>333</v>
      </c>
      <c r="E21" s="35" t="s">
        <v>334</v>
      </c>
      <c r="F21" s="35" t="s">
        <v>335</v>
      </c>
      <c r="G21" s="35" t="s">
        <v>336</v>
      </c>
      <c r="H21" s="35" t="s">
        <v>337</v>
      </c>
      <c r="I21" s="46" t="s">
        <v>10</v>
      </c>
      <c r="J21" s="31" t="s">
        <v>45</v>
      </c>
      <c r="K21" s="32" t="s">
        <v>338</v>
      </c>
    </row>
    <row r="22" spans="1:11" ht="45.75" customHeight="1">
      <c r="A22" s="28" t="s">
        <v>339</v>
      </c>
      <c r="B22" s="13" t="s">
        <v>340</v>
      </c>
      <c r="C22" s="29" t="s">
        <v>230</v>
      </c>
      <c r="D22" s="30" t="s">
        <v>216</v>
      </c>
      <c r="E22" s="14" t="s">
        <v>341</v>
      </c>
      <c r="F22" s="14" t="s">
        <v>342</v>
      </c>
      <c r="G22" s="14" t="s">
        <v>343</v>
      </c>
      <c r="H22" s="14" t="s">
        <v>344</v>
      </c>
      <c r="I22" s="46" t="s">
        <v>6</v>
      </c>
      <c r="J22" s="31" t="s">
        <v>45</v>
      </c>
      <c r="K22" s="32" t="s">
        <v>45</v>
      </c>
    </row>
    <row r="23" spans="1:11" ht="121.35" customHeight="1">
      <c r="A23" s="33" t="s">
        <v>345</v>
      </c>
      <c r="B23" s="47" t="s">
        <v>346</v>
      </c>
      <c r="C23" s="34" t="s">
        <v>223</v>
      </c>
      <c r="D23" s="30" t="s">
        <v>216</v>
      </c>
      <c r="E23" s="35" t="s">
        <v>347</v>
      </c>
      <c r="F23" s="35" t="s">
        <v>348</v>
      </c>
      <c r="G23" s="35" t="s">
        <v>349</v>
      </c>
      <c r="H23" s="35" t="s">
        <v>350</v>
      </c>
      <c r="I23" s="46" t="s">
        <v>6</v>
      </c>
      <c r="J23" s="31" t="s">
        <v>45</v>
      </c>
      <c r="K23" s="32" t="s">
        <v>45</v>
      </c>
    </row>
    <row r="24" spans="1:11" ht="71.099999999999994" customHeight="1">
      <c r="A24" s="28" t="s">
        <v>351</v>
      </c>
      <c r="B24" s="13" t="s">
        <v>352</v>
      </c>
      <c r="C24" s="29" t="s">
        <v>332</v>
      </c>
      <c r="D24" s="30" t="s">
        <v>216</v>
      </c>
      <c r="E24" s="14" t="s">
        <v>353</v>
      </c>
      <c r="F24" s="14" t="s">
        <v>354</v>
      </c>
      <c r="G24" s="14" t="s">
        <v>355</v>
      </c>
      <c r="H24" s="14" t="s">
        <v>356</v>
      </c>
      <c r="I24" s="46" t="s">
        <v>14</v>
      </c>
      <c r="J24" s="31" t="s">
        <v>45</v>
      </c>
      <c r="K24" s="32" t="s">
        <v>357</v>
      </c>
    </row>
    <row r="25" spans="1:11" ht="58.35" customHeight="1">
      <c r="A25" s="33" t="s">
        <v>358</v>
      </c>
      <c r="B25" s="47" t="s">
        <v>359</v>
      </c>
      <c r="C25" s="34" t="s">
        <v>332</v>
      </c>
      <c r="D25" s="30" t="s">
        <v>216</v>
      </c>
      <c r="E25" s="35" t="s">
        <v>360</v>
      </c>
      <c r="F25" s="35" t="s">
        <v>361</v>
      </c>
      <c r="G25" s="35" t="s">
        <v>362</v>
      </c>
      <c r="H25" s="35" t="s">
        <v>363</v>
      </c>
      <c r="I25" s="46" t="s">
        <v>6</v>
      </c>
      <c r="J25" s="31" t="s">
        <v>45</v>
      </c>
      <c r="K25" s="32" t="s">
        <v>45</v>
      </c>
    </row>
    <row r="26" spans="1:11" ht="83.65" customHeight="1">
      <c r="A26" s="28" t="s">
        <v>364</v>
      </c>
      <c r="B26" s="13" t="s">
        <v>365</v>
      </c>
      <c r="C26" s="29" t="s">
        <v>230</v>
      </c>
      <c r="D26" s="30" t="s">
        <v>216</v>
      </c>
      <c r="E26" s="14" t="s">
        <v>366</v>
      </c>
      <c r="F26" s="14" t="s">
        <v>367</v>
      </c>
      <c r="G26" s="14" t="s">
        <v>368</v>
      </c>
      <c r="H26" s="14" t="s">
        <v>369</v>
      </c>
      <c r="I26" s="46" t="s">
        <v>14</v>
      </c>
      <c r="J26" s="31" t="s">
        <v>45</v>
      </c>
      <c r="K26" s="32" t="s">
        <v>357</v>
      </c>
    </row>
    <row r="27" spans="1:11" ht="58.35" customHeight="1">
      <c r="A27" s="33" t="s">
        <v>370</v>
      </c>
      <c r="B27" s="47" t="s">
        <v>371</v>
      </c>
      <c r="C27" s="34" t="s">
        <v>332</v>
      </c>
      <c r="D27" s="30" t="s">
        <v>216</v>
      </c>
      <c r="E27" s="35" t="s">
        <v>372</v>
      </c>
      <c r="F27" s="35" t="s">
        <v>373</v>
      </c>
      <c r="G27" s="35" t="s">
        <v>374</v>
      </c>
      <c r="H27" s="35" t="s">
        <v>375</v>
      </c>
      <c r="I27" s="46" t="s">
        <v>14</v>
      </c>
      <c r="J27" s="31" t="s">
        <v>45</v>
      </c>
      <c r="K27" s="32" t="s">
        <v>357</v>
      </c>
    </row>
    <row r="28" spans="1:11" ht="71.099999999999994" customHeight="1">
      <c r="A28" s="28" t="s">
        <v>376</v>
      </c>
      <c r="B28" s="13" t="s">
        <v>377</v>
      </c>
      <c r="C28" s="29" t="s">
        <v>332</v>
      </c>
      <c r="D28" s="30" t="s">
        <v>216</v>
      </c>
      <c r="E28" s="14" t="s">
        <v>378</v>
      </c>
      <c r="F28" s="14" t="s">
        <v>379</v>
      </c>
      <c r="G28" s="14" t="s">
        <v>380</v>
      </c>
      <c r="H28" s="14" t="s">
        <v>381</v>
      </c>
      <c r="I28" s="46" t="s">
        <v>6</v>
      </c>
      <c r="J28" s="31" t="s">
        <v>45</v>
      </c>
      <c r="K28" s="32" t="s">
        <v>45</v>
      </c>
    </row>
    <row r="29" spans="1:11" ht="96.2" customHeight="1">
      <c r="A29" s="33" t="s">
        <v>382</v>
      </c>
      <c r="B29" s="47" t="s">
        <v>383</v>
      </c>
      <c r="C29" s="34" t="s">
        <v>332</v>
      </c>
      <c r="D29" s="30" t="s">
        <v>216</v>
      </c>
      <c r="E29" s="35" t="s">
        <v>384</v>
      </c>
      <c r="F29" s="35" t="s">
        <v>385</v>
      </c>
      <c r="G29" s="35" t="s">
        <v>386</v>
      </c>
      <c r="H29" s="35" t="s">
        <v>387</v>
      </c>
      <c r="I29" s="46" t="s">
        <v>14</v>
      </c>
      <c r="J29" s="31" t="s">
        <v>45</v>
      </c>
      <c r="K29" s="32" t="s">
        <v>357</v>
      </c>
    </row>
    <row r="30" spans="1:11" ht="96.2" customHeight="1">
      <c r="A30" s="28" t="s">
        <v>388</v>
      </c>
      <c r="B30" s="13" t="s">
        <v>389</v>
      </c>
      <c r="C30" s="29" t="s">
        <v>230</v>
      </c>
      <c r="D30" s="30" t="s">
        <v>216</v>
      </c>
      <c r="E30" s="14" t="s">
        <v>390</v>
      </c>
      <c r="F30" s="14" t="s">
        <v>391</v>
      </c>
      <c r="G30" s="14" t="s">
        <v>392</v>
      </c>
      <c r="H30" s="14" t="s">
        <v>393</v>
      </c>
      <c r="I30" s="46" t="s">
        <v>10</v>
      </c>
      <c r="J30" s="31" t="s">
        <v>45</v>
      </c>
      <c r="K30" s="32" t="s">
        <v>394</v>
      </c>
    </row>
    <row r="31" spans="1:11" ht="71.099999999999994" customHeight="1">
      <c r="A31" s="33" t="s">
        <v>395</v>
      </c>
      <c r="B31" s="47" t="s">
        <v>396</v>
      </c>
      <c r="C31" s="34" t="s">
        <v>332</v>
      </c>
      <c r="D31" s="36" t="s">
        <v>333</v>
      </c>
      <c r="E31" s="35" t="s">
        <v>397</v>
      </c>
      <c r="F31" s="35" t="s">
        <v>398</v>
      </c>
      <c r="G31" s="35" t="s">
        <v>399</v>
      </c>
      <c r="H31" s="35" t="s">
        <v>400</v>
      </c>
      <c r="I31" s="46" t="s">
        <v>14</v>
      </c>
      <c r="J31" s="31" t="s">
        <v>45</v>
      </c>
      <c r="K31" s="32" t="s">
        <v>401</v>
      </c>
    </row>
    <row r="32" spans="1:11" ht="71.099999999999994" customHeight="1">
      <c r="A32" s="28" t="s">
        <v>402</v>
      </c>
      <c r="B32" s="13" t="s">
        <v>403</v>
      </c>
      <c r="C32" s="29" t="s">
        <v>332</v>
      </c>
      <c r="D32" s="36" t="s">
        <v>333</v>
      </c>
      <c r="E32" s="14" t="s">
        <v>404</v>
      </c>
      <c r="F32" s="14" t="s">
        <v>405</v>
      </c>
      <c r="G32" s="14" t="s">
        <v>406</v>
      </c>
      <c r="H32" s="14" t="s">
        <v>407</v>
      </c>
      <c r="I32" s="46" t="s">
        <v>14</v>
      </c>
      <c r="J32" s="31" t="s">
        <v>45</v>
      </c>
      <c r="K32" s="32" t="s">
        <v>401</v>
      </c>
    </row>
    <row r="33" spans="1:11" ht="71.099999999999994" customHeight="1">
      <c r="A33" s="33" t="s">
        <v>408</v>
      </c>
      <c r="B33" s="47" t="s">
        <v>409</v>
      </c>
      <c r="C33" s="34" t="s">
        <v>230</v>
      </c>
      <c r="D33" s="37" t="s">
        <v>410</v>
      </c>
      <c r="E33" s="35" t="s">
        <v>411</v>
      </c>
      <c r="F33" s="35" t="s">
        <v>412</v>
      </c>
      <c r="G33" s="35" t="s">
        <v>413</v>
      </c>
      <c r="H33" s="35" t="s">
        <v>414</v>
      </c>
      <c r="I33" s="46" t="s">
        <v>14</v>
      </c>
      <c r="J33" s="31" t="s">
        <v>45</v>
      </c>
      <c r="K33" s="32" t="s">
        <v>401</v>
      </c>
    </row>
    <row r="34" spans="1:11" ht="58.35" customHeight="1">
      <c r="A34" s="28" t="s">
        <v>415</v>
      </c>
      <c r="B34" s="13" t="s">
        <v>416</v>
      </c>
      <c r="C34" s="29" t="s">
        <v>332</v>
      </c>
      <c r="D34" s="37" t="s">
        <v>410</v>
      </c>
      <c r="E34" s="14" t="s">
        <v>417</v>
      </c>
      <c r="F34" s="14" t="s">
        <v>418</v>
      </c>
      <c r="G34" s="14" t="s">
        <v>419</v>
      </c>
      <c r="H34" s="14" t="s">
        <v>420</v>
      </c>
      <c r="I34" s="46" t="s">
        <v>14</v>
      </c>
      <c r="J34" s="31" t="s">
        <v>45</v>
      </c>
      <c r="K34" s="32" t="s">
        <v>401</v>
      </c>
    </row>
    <row r="35" spans="1:11" ht="159.19999999999999" customHeight="1">
      <c r="A35" s="33" t="s">
        <v>421</v>
      </c>
      <c r="B35" s="47" t="s">
        <v>422</v>
      </c>
      <c r="C35" s="34" t="s">
        <v>223</v>
      </c>
      <c r="D35" s="37" t="s">
        <v>410</v>
      </c>
      <c r="E35" s="35" t="s">
        <v>423</v>
      </c>
      <c r="F35" s="35" t="s">
        <v>424</v>
      </c>
      <c r="G35" s="35" t="s">
        <v>425</v>
      </c>
      <c r="H35" s="35" t="s">
        <v>426</v>
      </c>
      <c r="I35" s="46" t="s">
        <v>14</v>
      </c>
      <c r="J35" s="31" t="s">
        <v>45</v>
      </c>
      <c r="K35" s="32" t="s">
        <v>401</v>
      </c>
    </row>
    <row r="36" spans="1:11" ht="58.35" customHeight="1">
      <c r="A36" s="28" t="s">
        <v>427</v>
      </c>
      <c r="B36" s="13" t="s">
        <v>428</v>
      </c>
      <c r="C36" s="29" t="s">
        <v>332</v>
      </c>
      <c r="D36" s="37" t="s">
        <v>410</v>
      </c>
      <c r="E36" s="14" t="s">
        <v>429</v>
      </c>
      <c r="F36" s="14" t="s">
        <v>430</v>
      </c>
      <c r="G36" s="14" t="s">
        <v>431</v>
      </c>
      <c r="H36" s="14" t="s">
        <v>432</v>
      </c>
      <c r="I36" s="46" t="s">
        <v>14</v>
      </c>
      <c r="J36" s="31" t="s">
        <v>45</v>
      </c>
      <c r="K36" s="32" t="s">
        <v>401</v>
      </c>
    </row>
    <row r="37" spans="1:11" ht="58.35" customHeight="1">
      <c r="A37" s="33" t="s">
        <v>433</v>
      </c>
      <c r="B37" s="47" t="s">
        <v>434</v>
      </c>
      <c r="C37" s="34" t="s">
        <v>332</v>
      </c>
      <c r="D37" s="37" t="s">
        <v>410</v>
      </c>
      <c r="E37" s="35" t="s">
        <v>435</v>
      </c>
      <c r="F37" s="35" t="s">
        <v>436</v>
      </c>
      <c r="G37" s="35" t="s">
        <v>437</v>
      </c>
      <c r="H37" s="35" t="s">
        <v>438</v>
      </c>
      <c r="I37" s="46" t="s">
        <v>14</v>
      </c>
      <c r="J37" s="31" t="s">
        <v>45</v>
      </c>
      <c r="K37" s="32" t="s">
        <v>401</v>
      </c>
    </row>
    <row r="38" spans="1:11" ht="108.75" customHeight="1">
      <c r="A38" s="28" t="s">
        <v>439</v>
      </c>
      <c r="B38" s="13" t="s">
        <v>440</v>
      </c>
      <c r="C38" s="29" t="s">
        <v>223</v>
      </c>
      <c r="D38" s="37" t="s">
        <v>410</v>
      </c>
      <c r="E38" s="14" t="s">
        <v>441</v>
      </c>
      <c r="F38" s="14" t="s">
        <v>442</v>
      </c>
      <c r="G38" s="14" t="s">
        <v>443</v>
      </c>
      <c r="H38" s="14" t="s">
        <v>444</v>
      </c>
      <c r="I38" s="46" t="s">
        <v>14</v>
      </c>
      <c r="J38" s="31" t="s">
        <v>45</v>
      </c>
      <c r="K38" s="32" t="s">
        <v>401</v>
      </c>
    </row>
    <row r="39" spans="1:11" ht="146.65" customHeight="1">
      <c r="A39" s="33" t="s">
        <v>445</v>
      </c>
      <c r="B39" s="47" t="s">
        <v>446</v>
      </c>
      <c r="C39" s="34" t="s">
        <v>332</v>
      </c>
      <c r="D39" s="37" t="s">
        <v>410</v>
      </c>
      <c r="E39" s="35" t="s">
        <v>447</v>
      </c>
      <c r="F39" s="35" t="s">
        <v>448</v>
      </c>
      <c r="G39" s="35" t="s">
        <v>449</v>
      </c>
      <c r="H39" s="35" t="s">
        <v>450</v>
      </c>
      <c r="I39" s="46" t="s">
        <v>14</v>
      </c>
      <c r="J39" s="31" t="s">
        <v>45</v>
      </c>
      <c r="K39" s="32" t="s">
        <v>401</v>
      </c>
    </row>
    <row r="40" spans="1:11" ht="71.099999999999994" customHeight="1">
      <c r="A40" s="28" t="s">
        <v>451</v>
      </c>
      <c r="B40" s="13" t="s">
        <v>452</v>
      </c>
      <c r="C40" s="29" t="s">
        <v>230</v>
      </c>
      <c r="D40" s="37" t="s">
        <v>410</v>
      </c>
      <c r="E40" s="14" t="s">
        <v>453</v>
      </c>
      <c r="F40" s="14" t="s">
        <v>454</v>
      </c>
      <c r="G40" s="14" t="s">
        <v>455</v>
      </c>
      <c r="H40" s="14" t="s">
        <v>456</v>
      </c>
      <c r="I40" s="46" t="s">
        <v>14</v>
      </c>
      <c r="J40" s="31" t="s">
        <v>45</v>
      </c>
      <c r="K40" s="32" t="s">
        <v>401</v>
      </c>
    </row>
    <row r="41" spans="1:11" ht="58.35" customHeight="1">
      <c r="A41" s="33" t="s">
        <v>457</v>
      </c>
      <c r="B41" s="47" t="s">
        <v>458</v>
      </c>
      <c r="C41" s="34" t="s">
        <v>332</v>
      </c>
      <c r="D41" s="37" t="s">
        <v>410</v>
      </c>
      <c r="E41" s="35" t="s">
        <v>459</v>
      </c>
      <c r="F41" s="35" t="s">
        <v>460</v>
      </c>
      <c r="G41" s="35" t="s">
        <v>461</v>
      </c>
      <c r="H41" s="35" t="s">
        <v>462</v>
      </c>
      <c r="I41" s="46" t="s">
        <v>14</v>
      </c>
      <c r="J41" s="31" t="s">
        <v>45</v>
      </c>
      <c r="K41" s="32" t="s">
        <v>401</v>
      </c>
    </row>
    <row r="42" spans="1:11" ht="108.75" customHeight="1">
      <c r="A42" s="28" t="s">
        <v>463</v>
      </c>
      <c r="B42" s="13" t="s">
        <v>464</v>
      </c>
      <c r="C42" s="29" t="s">
        <v>332</v>
      </c>
      <c r="D42" s="37" t="s">
        <v>410</v>
      </c>
      <c r="E42" s="14" t="s">
        <v>465</v>
      </c>
      <c r="F42" s="14" t="s">
        <v>466</v>
      </c>
      <c r="G42" s="14" t="s">
        <v>467</v>
      </c>
      <c r="H42" s="14" t="s">
        <v>468</v>
      </c>
      <c r="I42" s="46" t="s">
        <v>14</v>
      </c>
      <c r="J42" s="31" t="s">
        <v>45</v>
      </c>
      <c r="K42" s="32" t="s">
        <v>401</v>
      </c>
    </row>
    <row r="43" spans="1:11" ht="71.099999999999994" customHeight="1">
      <c r="A43" s="33" t="s">
        <v>469</v>
      </c>
      <c r="B43" s="47" t="s">
        <v>470</v>
      </c>
      <c r="C43" s="34" t="s">
        <v>332</v>
      </c>
      <c r="D43" s="37" t="s">
        <v>410</v>
      </c>
      <c r="E43" s="35" t="s">
        <v>471</v>
      </c>
      <c r="F43" s="35" t="s">
        <v>472</v>
      </c>
      <c r="G43" s="35" t="s">
        <v>473</v>
      </c>
      <c r="H43" s="35" t="s">
        <v>474</v>
      </c>
      <c r="I43" s="46" t="s">
        <v>14</v>
      </c>
      <c r="J43" s="31" t="s">
        <v>45</v>
      </c>
      <c r="K43" s="32" t="s">
        <v>401</v>
      </c>
    </row>
    <row r="44" spans="1:11" ht="71.099999999999994" customHeight="1">
      <c r="A44" s="28" t="s">
        <v>475</v>
      </c>
      <c r="B44" s="13" t="s">
        <v>476</v>
      </c>
      <c r="C44" s="29" t="s">
        <v>230</v>
      </c>
      <c r="D44" s="37" t="s">
        <v>410</v>
      </c>
      <c r="E44" s="14" t="s">
        <v>477</v>
      </c>
      <c r="F44" s="14" t="s">
        <v>478</v>
      </c>
      <c r="G44" s="14" t="s">
        <v>479</v>
      </c>
      <c r="H44" s="14" t="s">
        <v>480</v>
      </c>
      <c r="I44" s="46" t="s">
        <v>14</v>
      </c>
      <c r="J44" s="31" t="s">
        <v>45</v>
      </c>
      <c r="K44" s="32" t="s">
        <v>401</v>
      </c>
    </row>
    <row r="45" spans="1:11" ht="71.099999999999994" customHeight="1">
      <c r="A45" s="33" t="s">
        <v>481</v>
      </c>
      <c r="B45" s="47" t="s">
        <v>482</v>
      </c>
      <c r="C45" s="34" t="s">
        <v>332</v>
      </c>
      <c r="D45" s="37" t="s">
        <v>410</v>
      </c>
      <c r="E45" s="35" t="s">
        <v>483</v>
      </c>
      <c r="F45" s="35" t="s">
        <v>484</v>
      </c>
      <c r="G45" s="35" t="s">
        <v>485</v>
      </c>
      <c r="H45" s="35" t="s">
        <v>486</v>
      </c>
      <c r="I45" s="46" t="s">
        <v>14</v>
      </c>
      <c r="J45" s="31" t="s">
        <v>45</v>
      </c>
      <c r="K45" s="32" t="s">
        <v>401</v>
      </c>
    </row>
    <row r="46" spans="1:11" ht="83.65" customHeight="1">
      <c r="A46" s="28" t="s">
        <v>487</v>
      </c>
      <c r="B46" s="13" t="s">
        <v>488</v>
      </c>
      <c r="C46" s="29" t="s">
        <v>223</v>
      </c>
      <c r="D46" s="37" t="s">
        <v>410</v>
      </c>
      <c r="E46" s="14" t="s">
        <v>489</v>
      </c>
      <c r="F46" s="14" t="s">
        <v>490</v>
      </c>
      <c r="G46" s="14" t="s">
        <v>491</v>
      </c>
      <c r="H46" s="14" t="s">
        <v>492</v>
      </c>
      <c r="I46" s="46" t="s">
        <v>14</v>
      </c>
      <c r="J46" s="31" t="s">
        <v>45</v>
      </c>
      <c r="K46" s="32" t="s">
        <v>401</v>
      </c>
    </row>
  </sheetData>
  <autoFilter ref="A1:K46" xr:uid="{00000000-0009-0000-0000-000002000000}"/>
  <conditionalFormatting sqref="I2:I46">
    <cfRule type="cellIs" dxfId="39" priority="1" operator="equal">
      <formula>"OK"</formula>
    </cfRule>
    <cfRule type="cellIs" dxfId="38" priority="2" operator="equal">
      <formula>"Partial"</formula>
    </cfRule>
    <cfRule type="cellIs" dxfId="37" priority="3" operator="equal">
      <formula>"KO"</formula>
    </cfRule>
    <cfRule type="cellIs" dxfId="36" priority="4" operator="equal">
      <formula>"Blocked"</formula>
    </cfRule>
    <cfRule type="cellIs" dxfId="35" priority="5" operator="equal">
      <formula>"N/A"</formula>
    </cfRule>
    <cfRule type="cellIs" dxfId="34" priority="6" operator="equal">
      <formula>"Not tested"</formula>
    </cfRule>
  </conditionalFormatting>
  <conditionalFormatting sqref="J2:J46">
    <cfRule type="expression" dxfId="33" priority="7">
      <formula>AND(OR($I2="KO",$I2="Blocked",$I2="Partial"),$J2="")</formula>
    </cfRule>
  </conditionalFormatting>
  <conditionalFormatting sqref="K2:K46">
    <cfRule type="expression" dxfId="32" priority="8">
      <formula>AND(OR($I2="KO",$I2="Blocked",$I2="Partial",$I2="N/A"),$K2="")</formula>
    </cfRule>
  </conditionalFormatting>
  <dataValidations count="2">
    <dataValidation type="list" showErrorMessage="1" errorTitle="Pick a value" error="Choose one of: Not tested, OK, Partial, KO, Blocked, N/A" sqref="I2:I46" xr:uid="{00000000-0002-0000-0200-000000000000}">
      <formula1>"Not tested,OK,Partial,KO,Blocked,N/A"</formula1>
    </dataValidation>
    <dataValidation type="list" allowBlank="1" showErrorMessage="1" errorTitle="Pick a value" error="Fill Severity only when RESULT is KO, Partial or Blocked." sqref="J2:J46" xr:uid="{00000000-0002-0000-0200-000002000000}">
      <formula1>"Blocking,Major,Minor"</formula1>
    </dataValidation>
  </dataValidations>
  <pageMargins left="0.3" right="0.3" top="0.4" bottom="0.4" header="0.2" footer="0.2"/>
  <pageSetup paperSize="9" fitToHeight="0" orientation="landscape" horizontalDpi="4294967295" verticalDpi="4294967295"/>
  <headerFooter>
    <oddFooter>&amp;LEclyps&amp;CPage &amp;P of &amp;N&amp;R&amp;D</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K37"/>
  <sheetViews>
    <sheetView workbookViewId="0">
      <pane xSplit="2" ySplit="1" topLeftCell="C2" activePane="bottomRight" state="frozen"/>
      <selection pane="bottomRight" activeCell="K35" sqref="K35"/>
      <selection pane="bottomLeft"/>
      <selection pane="topRight"/>
    </sheetView>
  </sheetViews>
  <sheetFormatPr defaultRowHeight="15"/>
  <cols>
    <col min="2" max="2" width="27" customWidth="1"/>
    <col min="3" max="3" width="15" customWidth="1"/>
    <col min="4" max="4" width="13" customWidth="1"/>
    <col min="5" max="6" width="32" customWidth="1"/>
    <col min="7" max="7" width="50" customWidth="1"/>
    <col min="8" max="8" width="40" customWidth="1"/>
    <col min="9" max="9" width="13" customWidth="1"/>
    <col min="10" max="10" width="12" customWidth="1"/>
    <col min="11" max="11" width="52" customWidth="1"/>
  </cols>
  <sheetData>
    <row r="1" spans="1:11" ht="30" customHeight="1">
      <c r="A1" s="15" t="s">
        <v>202</v>
      </c>
      <c r="B1" s="15" t="s">
        <v>203</v>
      </c>
      <c r="C1" s="15" t="s">
        <v>204</v>
      </c>
      <c r="D1" s="15" t="s">
        <v>205</v>
      </c>
      <c r="E1" s="15" t="s">
        <v>206</v>
      </c>
      <c r="F1" s="15" t="s">
        <v>207</v>
      </c>
      <c r="G1" s="15" t="s">
        <v>208</v>
      </c>
      <c r="H1" s="15" t="s">
        <v>209</v>
      </c>
      <c r="I1" s="45" t="s">
        <v>210</v>
      </c>
      <c r="J1" s="45" t="s">
        <v>211</v>
      </c>
      <c r="K1" s="45" t="s">
        <v>212</v>
      </c>
    </row>
    <row r="2" spans="1:11" ht="234.75" customHeight="1">
      <c r="A2" s="28" t="s">
        <v>213</v>
      </c>
      <c r="B2" s="13" t="s">
        <v>493</v>
      </c>
      <c r="C2" s="29" t="s">
        <v>223</v>
      </c>
      <c r="D2" s="30" t="s">
        <v>216</v>
      </c>
      <c r="E2" s="14" t="s">
        <v>494</v>
      </c>
      <c r="F2" s="14" t="s">
        <v>495</v>
      </c>
      <c r="G2" s="14" t="s">
        <v>496</v>
      </c>
      <c r="H2" s="14" t="s">
        <v>497</v>
      </c>
      <c r="I2" s="46" t="s">
        <v>6</v>
      </c>
      <c r="J2" s="31" t="s">
        <v>45</v>
      </c>
      <c r="K2" s="32" t="s">
        <v>45</v>
      </c>
    </row>
    <row r="3" spans="1:11" ht="171.75" customHeight="1">
      <c r="A3" s="33" t="s">
        <v>221</v>
      </c>
      <c r="B3" s="47" t="s">
        <v>498</v>
      </c>
      <c r="C3" s="34" t="s">
        <v>223</v>
      </c>
      <c r="D3" s="30" t="s">
        <v>216</v>
      </c>
      <c r="E3" s="35" t="s">
        <v>499</v>
      </c>
      <c r="F3" s="35" t="s">
        <v>500</v>
      </c>
      <c r="G3" s="35" t="s">
        <v>501</v>
      </c>
      <c r="H3" s="35" t="s">
        <v>502</v>
      </c>
      <c r="I3" s="46" t="s">
        <v>6</v>
      </c>
      <c r="J3" s="31" t="s">
        <v>45</v>
      </c>
      <c r="K3" s="32" t="s">
        <v>45</v>
      </c>
    </row>
    <row r="4" spans="1:11" ht="134.1" customHeight="1">
      <c r="A4" s="28" t="s">
        <v>228</v>
      </c>
      <c r="B4" s="13" t="s">
        <v>503</v>
      </c>
      <c r="C4" s="29" t="s">
        <v>223</v>
      </c>
      <c r="D4" s="30" t="s">
        <v>216</v>
      </c>
      <c r="E4" s="14" t="s">
        <v>504</v>
      </c>
      <c r="F4" s="14" t="s">
        <v>505</v>
      </c>
      <c r="G4" s="14" t="s">
        <v>506</v>
      </c>
      <c r="H4" s="14" t="s">
        <v>507</v>
      </c>
      <c r="I4" s="46" t="s">
        <v>8</v>
      </c>
      <c r="J4" s="31" t="s">
        <v>508</v>
      </c>
      <c r="K4" s="32" t="s">
        <v>509</v>
      </c>
    </row>
    <row r="5" spans="1:11" ht="184.35" customHeight="1">
      <c r="A5" s="33" t="s">
        <v>236</v>
      </c>
      <c r="B5" s="47" t="s">
        <v>510</v>
      </c>
      <c r="C5" s="34" t="s">
        <v>223</v>
      </c>
      <c r="D5" s="30" t="s">
        <v>216</v>
      </c>
      <c r="E5" s="35" t="s">
        <v>511</v>
      </c>
      <c r="F5" s="35" t="s">
        <v>512</v>
      </c>
      <c r="G5" s="35" t="s">
        <v>513</v>
      </c>
      <c r="H5" s="35" t="s">
        <v>514</v>
      </c>
      <c r="I5" s="46" t="s">
        <v>6</v>
      </c>
      <c r="J5" s="31" t="s">
        <v>45</v>
      </c>
      <c r="K5" s="32" t="s">
        <v>45</v>
      </c>
    </row>
    <row r="6" spans="1:11" ht="134.1" customHeight="1">
      <c r="A6" s="28" t="s">
        <v>241</v>
      </c>
      <c r="B6" s="13" t="s">
        <v>515</v>
      </c>
      <c r="C6" s="29" t="s">
        <v>223</v>
      </c>
      <c r="D6" s="30" t="s">
        <v>216</v>
      </c>
      <c r="E6" s="14" t="s">
        <v>516</v>
      </c>
      <c r="F6" s="14" t="s">
        <v>517</v>
      </c>
      <c r="G6" s="14" t="s">
        <v>518</v>
      </c>
      <c r="H6" s="14" t="s">
        <v>519</v>
      </c>
      <c r="I6" s="46" t="s">
        <v>6</v>
      </c>
      <c r="J6" s="31" t="s">
        <v>45</v>
      </c>
      <c r="K6" s="32" t="s">
        <v>45</v>
      </c>
    </row>
    <row r="7" spans="1:11" ht="134.1" customHeight="1">
      <c r="A7" s="33" t="s">
        <v>246</v>
      </c>
      <c r="B7" s="47" t="s">
        <v>520</v>
      </c>
      <c r="C7" s="34" t="s">
        <v>223</v>
      </c>
      <c r="D7" s="30" t="s">
        <v>216</v>
      </c>
      <c r="E7" s="35" t="s">
        <v>521</v>
      </c>
      <c r="F7" s="35" t="s">
        <v>522</v>
      </c>
      <c r="G7" s="35" t="s">
        <v>523</v>
      </c>
      <c r="H7" s="35" t="s">
        <v>524</v>
      </c>
      <c r="I7" s="46" t="s">
        <v>6</v>
      </c>
      <c r="J7" s="31" t="s">
        <v>45</v>
      </c>
      <c r="K7" s="32" t="s">
        <v>45</v>
      </c>
    </row>
    <row r="8" spans="1:11" ht="96.2" customHeight="1">
      <c r="A8" s="28" t="s">
        <v>251</v>
      </c>
      <c r="B8" s="13" t="s">
        <v>525</v>
      </c>
      <c r="C8" s="29" t="s">
        <v>223</v>
      </c>
      <c r="D8" s="30" t="s">
        <v>216</v>
      </c>
      <c r="E8" s="14" t="s">
        <v>526</v>
      </c>
      <c r="F8" s="14" t="s">
        <v>527</v>
      </c>
      <c r="G8" s="14" t="s">
        <v>528</v>
      </c>
      <c r="H8" s="14" t="s">
        <v>529</v>
      </c>
      <c r="I8" s="46" t="s">
        <v>6</v>
      </c>
      <c r="J8" s="31" t="s">
        <v>45</v>
      </c>
      <c r="K8" s="32" t="s">
        <v>45</v>
      </c>
    </row>
    <row r="9" spans="1:11" ht="108.75" customHeight="1">
      <c r="A9" s="33" t="s">
        <v>256</v>
      </c>
      <c r="B9" s="47" t="s">
        <v>530</v>
      </c>
      <c r="C9" s="34" t="s">
        <v>223</v>
      </c>
      <c r="D9" s="30" t="s">
        <v>216</v>
      </c>
      <c r="E9" s="35" t="s">
        <v>531</v>
      </c>
      <c r="F9" s="35" t="s">
        <v>527</v>
      </c>
      <c r="G9" s="35" t="s">
        <v>532</v>
      </c>
      <c r="H9" s="35" t="s">
        <v>533</v>
      </c>
      <c r="I9" s="46" t="s">
        <v>6</v>
      </c>
      <c r="J9" s="31" t="s">
        <v>45</v>
      </c>
      <c r="K9" s="32" t="s">
        <v>45</v>
      </c>
    </row>
    <row r="10" spans="1:11" ht="146.65" customHeight="1">
      <c r="A10" s="28" t="s">
        <v>263</v>
      </c>
      <c r="B10" s="13" t="s">
        <v>534</v>
      </c>
      <c r="C10" s="29" t="s">
        <v>223</v>
      </c>
      <c r="D10" s="30" t="s">
        <v>216</v>
      </c>
      <c r="E10" s="14" t="s">
        <v>535</v>
      </c>
      <c r="F10" s="14" t="s">
        <v>536</v>
      </c>
      <c r="G10" s="14" t="s">
        <v>537</v>
      </c>
      <c r="H10" s="14" t="s">
        <v>538</v>
      </c>
      <c r="I10" s="46" t="s">
        <v>6</v>
      </c>
      <c r="J10" s="31" t="s">
        <v>45</v>
      </c>
      <c r="K10" s="32" t="s">
        <v>45</v>
      </c>
    </row>
    <row r="11" spans="1:11" ht="146.65" customHeight="1">
      <c r="A11" s="33" t="s">
        <v>269</v>
      </c>
      <c r="B11" s="47" t="s">
        <v>539</v>
      </c>
      <c r="C11" s="34" t="s">
        <v>223</v>
      </c>
      <c r="D11" s="30" t="s">
        <v>216</v>
      </c>
      <c r="E11" s="35" t="s">
        <v>540</v>
      </c>
      <c r="F11" s="35" t="s">
        <v>541</v>
      </c>
      <c r="G11" s="35" t="s">
        <v>542</v>
      </c>
      <c r="H11" s="35" t="s">
        <v>543</v>
      </c>
      <c r="I11" s="46" t="s">
        <v>6</v>
      </c>
      <c r="J11" s="31" t="s">
        <v>45</v>
      </c>
      <c r="K11" s="32" t="s">
        <v>45</v>
      </c>
    </row>
    <row r="12" spans="1:11" ht="159.19999999999999" customHeight="1">
      <c r="A12" s="28" t="s">
        <v>275</v>
      </c>
      <c r="B12" s="13" t="s">
        <v>544</v>
      </c>
      <c r="C12" s="29" t="s">
        <v>223</v>
      </c>
      <c r="D12" s="30" t="s">
        <v>216</v>
      </c>
      <c r="E12" s="14" t="s">
        <v>545</v>
      </c>
      <c r="F12" s="14" t="s">
        <v>546</v>
      </c>
      <c r="G12" s="14" t="s">
        <v>547</v>
      </c>
      <c r="H12" s="14" t="s">
        <v>548</v>
      </c>
      <c r="I12" s="46" t="s">
        <v>6</v>
      </c>
      <c r="J12" s="31" t="s">
        <v>45</v>
      </c>
      <c r="K12" s="32" t="s">
        <v>45</v>
      </c>
    </row>
    <row r="13" spans="1:11" ht="108.75" customHeight="1">
      <c r="A13" s="33" t="s">
        <v>281</v>
      </c>
      <c r="B13" s="47" t="s">
        <v>549</v>
      </c>
      <c r="C13" s="34" t="s">
        <v>223</v>
      </c>
      <c r="D13" s="30" t="s">
        <v>216</v>
      </c>
      <c r="E13" s="35" t="s">
        <v>550</v>
      </c>
      <c r="F13" s="35" t="s">
        <v>551</v>
      </c>
      <c r="G13" s="35" t="s">
        <v>552</v>
      </c>
      <c r="H13" s="35" t="s">
        <v>553</v>
      </c>
      <c r="I13" s="46" t="s">
        <v>6</v>
      </c>
      <c r="J13" s="31" t="s">
        <v>45</v>
      </c>
      <c r="K13" s="32" t="s">
        <v>45</v>
      </c>
    </row>
    <row r="14" spans="1:11" ht="146.65" customHeight="1">
      <c r="A14" s="28" t="s">
        <v>287</v>
      </c>
      <c r="B14" s="13" t="s">
        <v>554</v>
      </c>
      <c r="C14" s="29" t="s">
        <v>223</v>
      </c>
      <c r="D14" s="30" t="s">
        <v>216</v>
      </c>
      <c r="E14" s="14" t="s">
        <v>555</v>
      </c>
      <c r="F14" s="14" t="s">
        <v>556</v>
      </c>
      <c r="G14" s="14" t="s">
        <v>557</v>
      </c>
      <c r="H14" s="14" t="s">
        <v>558</v>
      </c>
      <c r="I14" s="46" t="s">
        <v>6</v>
      </c>
      <c r="J14" s="31" t="s">
        <v>45</v>
      </c>
      <c r="K14" s="32" t="s">
        <v>45</v>
      </c>
    </row>
    <row r="15" spans="1:11" ht="146.65" customHeight="1">
      <c r="A15" s="33" t="s">
        <v>293</v>
      </c>
      <c r="B15" s="47" t="s">
        <v>559</v>
      </c>
      <c r="C15" s="34" t="s">
        <v>223</v>
      </c>
      <c r="D15" s="30" t="s">
        <v>216</v>
      </c>
      <c r="E15" s="35" t="s">
        <v>560</v>
      </c>
      <c r="F15" s="35" t="s">
        <v>561</v>
      </c>
      <c r="G15" s="35" t="s">
        <v>562</v>
      </c>
      <c r="H15" s="35" t="s">
        <v>563</v>
      </c>
      <c r="I15" s="46" t="s">
        <v>6</v>
      </c>
      <c r="J15" s="31" t="s">
        <v>45</v>
      </c>
      <c r="K15" s="32" t="s">
        <v>45</v>
      </c>
    </row>
    <row r="16" spans="1:11" ht="184.35" customHeight="1">
      <c r="A16" s="28" t="s">
        <v>299</v>
      </c>
      <c r="B16" s="13" t="s">
        <v>564</v>
      </c>
      <c r="C16" s="29" t="s">
        <v>223</v>
      </c>
      <c r="D16" s="30" t="s">
        <v>216</v>
      </c>
      <c r="E16" s="14" t="s">
        <v>565</v>
      </c>
      <c r="F16" s="14" t="s">
        <v>566</v>
      </c>
      <c r="G16" s="14" t="s">
        <v>567</v>
      </c>
      <c r="H16" s="14" t="s">
        <v>568</v>
      </c>
      <c r="I16" s="46" t="s">
        <v>6</v>
      </c>
      <c r="J16" s="31" t="s">
        <v>45</v>
      </c>
      <c r="K16" s="32" t="s">
        <v>45</v>
      </c>
    </row>
    <row r="17" spans="1:11" ht="146.65" customHeight="1">
      <c r="A17" s="33" t="s">
        <v>305</v>
      </c>
      <c r="B17" s="47" t="s">
        <v>569</v>
      </c>
      <c r="C17" s="34" t="s">
        <v>223</v>
      </c>
      <c r="D17" s="30" t="s">
        <v>216</v>
      </c>
      <c r="E17" s="35" t="s">
        <v>570</v>
      </c>
      <c r="F17" s="35" t="s">
        <v>571</v>
      </c>
      <c r="G17" s="35" t="s">
        <v>572</v>
      </c>
      <c r="H17" s="35" t="s">
        <v>573</v>
      </c>
      <c r="I17" s="46" t="s">
        <v>6</v>
      </c>
      <c r="J17" s="31" t="s">
        <v>45</v>
      </c>
      <c r="K17" s="32" t="s">
        <v>45</v>
      </c>
    </row>
    <row r="18" spans="1:11" ht="146.65" customHeight="1">
      <c r="A18" s="28" t="s">
        <v>311</v>
      </c>
      <c r="B18" s="13" t="s">
        <v>574</v>
      </c>
      <c r="C18" s="29" t="s">
        <v>223</v>
      </c>
      <c r="D18" s="30" t="s">
        <v>216</v>
      </c>
      <c r="E18" s="14" t="s">
        <v>575</v>
      </c>
      <c r="F18" s="14" t="s">
        <v>576</v>
      </c>
      <c r="G18" s="14" t="s">
        <v>577</v>
      </c>
      <c r="H18" s="14" t="s">
        <v>578</v>
      </c>
      <c r="I18" s="46" t="s">
        <v>8</v>
      </c>
      <c r="J18" s="31" t="s">
        <v>508</v>
      </c>
      <c r="K18" s="32" t="s">
        <v>579</v>
      </c>
    </row>
    <row r="19" spans="1:11" ht="159.19999999999999" customHeight="1">
      <c r="A19" s="33" t="s">
        <v>317</v>
      </c>
      <c r="B19" s="47" t="s">
        <v>580</v>
      </c>
      <c r="C19" s="34" t="s">
        <v>223</v>
      </c>
      <c r="D19" s="30" t="s">
        <v>216</v>
      </c>
      <c r="E19" s="35" t="s">
        <v>581</v>
      </c>
      <c r="F19" s="35" t="s">
        <v>582</v>
      </c>
      <c r="G19" s="35" t="s">
        <v>583</v>
      </c>
      <c r="H19" s="35" t="s">
        <v>584</v>
      </c>
      <c r="I19" s="46" t="s">
        <v>6</v>
      </c>
      <c r="J19" s="31" t="s">
        <v>45</v>
      </c>
      <c r="K19" s="32" t="s">
        <v>45</v>
      </c>
    </row>
    <row r="20" spans="1:11" ht="146.65" customHeight="1">
      <c r="A20" s="28" t="s">
        <v>324</v>
      </c>
      <c r="B20" s="13" t="s">
        <v>585</v>
      </c>
      <c r="C20" s="29" t="s">
        <v>332</v>
      </c>
      <c r="D20" s="30" t="s">
        <v>216</v>
      </c>
      <c r="E20" s="14" t="s">
        <v>586</v>
      </c>
      <c r="F20" s="14" t="s">
        <v>587</v>
      </c>
      <c r="G20" s="14" t="s">
        <v>588</v>
      </c>
      <c r="H20" s="14" t="s">
        <v>589</v>
      </c>
      <c r="I20" s="46" t="s">
        <v>6</v>
      </c>
      <c r="J20" s="31" t="s">
        <v>45</v>
      </c>
      <c r="K20" s="32" t="s">
        <v>45</v>
      </c>
    </row>
    <row r="21" spans="1:11" ht="159.19999999999999" customHeight="1">
      <c r="A21" s="33" t="s">
        <v>330</v>
      </c>
      <c r="B21" s="47" t="s">
        <v>590</v>
      </c>
      <c r="C21" s="34" t="s">
        <v>223</v>
      </c>
      <c r="D21" s="30" t="s">
        <v>216</v>
      </c>
      <c r="E21" s="35" t="s">
        <v>591</v>
      </c>
      <c r="F21" s="35" t="s">
        <v>592</v>
      </c>
      <c r="G21" s="35" t="s">
        <v>593</v>
      </c>
      <c r="H21" s="35" t="s">
        <v>594</v>
      </c>
      <c r="I21" s="46" t="s">
        <v>10</v>
      </c>
      <c r="J21" s="31" t="s">
        <v>595</v>
      </c>
      <c r="K21" s="32" t="s">
        <v>596</v>
      </c>
    </row>
    <row r="22" spans="1:11" ht="209.65" customHeight="1">
      <c r="A22" s="28" t="s">
        <v>339</v>
      </c>
      <c r="B22" s="13" t="s">
        <v>597</v>
      </c>
      <c r="C22" s="29" t="s">
        <v>223</v>
      </c>
      <c r="D22" s="30" t="s">
        <v>216</v>
      </c>
      <c r="E22" s="14" t="s">
        <v>598</v>
      </c>
      <c r="F22" s="14" t="s">
        <v>599</v>
      </c>
      <c r="G22" s="14" t="s">
        <v>600</v>
      </c>
      <c r="H22" s="14" t="s">
        <v>601</v>
      </c>
      <c r="I22" s="46" t="s">
        <v>6</v>
      </c>
      <c r="J22" s="31" t="s">
        <v>45</v>
      </c>
      <c r="K22" s="32" t="s">
        <v>45</v>
      </c>
    </row>
    <row r="23" spans="1:11" ht="171.75" customHeight="1">
      <c r="A23" s="33" t="s">
        <v>345</v>
      </c>
      <c r="B23" s="47" t="s">
        <v>602</v>
      </c>
      <c r="C23" s="34" t="s">
        <v>223</v>
      </c>
      <c r="D23" s="30" t="s">
        <v>216</v>
      </c>
      <c r="E23" s="35" t="s">
        <v>603</v>
      </c>
      <c r="F23" s="35" t="s">
        <v>604</v>
      </c>
      <c r="G23" s="35" t="s">
        <v>605</v>
      </c>
      <c r="H23" s="35" t="s">
        <v>606</v>
      </c>
      <c r="I23" s="46" t="s">
        <v>6</v>
      </c>
      <c r="J23" s="31" t="s">
        <v>45</v>
      </c>
      <c r="K23" s="32" t="s">
        <v>45</v>
      </c>
    </row>
    <row r="24" spans="1:11" ht="146.65" customHeight="1">
      <c r="A24" s="28" t="s">
        <v>351</v>
      </c>
      <c r="B24" s="13" t="s">
        <v>607</v>
      </c>
      <c r="C24" s="29" t="s">
        <v>223</v>
      </c>
      <c r="D24" s="30" t="s">
        <v>216</v>
      </c>
      <c r="E24" s="14" t="s">
        <v>608</v>
      </c>
      <c r="F24" s="14" t="s">
        <v>609</v>
      </c>
      <c r="G24" s="14" t="s">
        <v>610</v>
      </c>
      <c r="H24" s="14" t="s">
        <v>611</v>
      </c>
      <c r="I24" s="46" t="s">
        <v>6</v>
      </c>
      <c r="J24" s="31" t="s">
        <v>45</v>
      </c>
      <c r="K24" s="32" t="s">
        <v>45</v>
      </c>
    </row>
    <row r="25" spans="1:11" ht="146.65" customHeight="1">
      <c r="A25" s="33" t="s">
        <v>358</v>
      </c>
      <c r="B25" s="47" t="s">
        <v>612</v>
      </c>
      <c r="C25" s="34" t="s">
        <v>223</v>
      </c>
      <c r="D25" s="30" t="s">
        <v>216</v>
      </c>
      <c r="E25" s="35" t="s">
        <v>613</v>
      </c>
      <c r="F25" s="35" t="s">
        <v>614</v>
      </c>
      <c r="G25" s="35" t="s">
        <v>615</v>
      </c>
      <c r="H25" s="35" t="s">
        <v>616</v>
      </c>
      <c r="I25" s="46" t="s">
        <v>6</v>
      </c>
      <c r="J25" s="31" t="s">
        <v>45</v>
      </c>
      <c r="K25" s="32" t="s">
        <v>45</v>
      </c>
    </row>
    <row r="26" spans="1:11" ht="83.65" customHeight="1">
      <c r="A26" s="28" t="s">
        <v>364</v>
      </c>
      <c r="B26" s="13" t="s">
        <v>617</v>
      </c>
      <c r="C26" s="29" t="s">
        <v>332</v>
      </c>
      <c r="D26" s="30" t="s">
        <v>216</v>
      </c>
      <c r="E26" s="14" t="s">
        <v>618</v>
      </c>
      <c r="F26" s="14" t="s">
        <v>619</v>
      </c>
      <c r="G26" s="14" t="s">
        <v>620</v>
      </c>
      <c r="H26" s="14" t="s">
        <v>621</v>
      </c>
      <c r="I26" s="46" t="s">
        <v>6</v>
      </c>
      <c r="J26" s="31" t="s">
        <v>45</v>
      </c>
      <c r="K26" s="32" t="s">
        <v>45</v>
      </c>
    </row>
    <row r="27" spans="1:11" ht="159.19999999999999" customHeight="1">
      <c r="A27" s="33" t="s">
        <v>370</v>
      </c>
      <c r="B27" s="47" t="s">
        <v>622</v>
      </c>
      <c r="C27" s="34" t="s">
        <v>332</v>
      </c>
      <c r="D27" s="30" t="s">
        <v>216</v>
      </c>
      <c r="E27" s="35" t="s">
        <v>623</v>
      </c>
      <c r="F27" s="35" t="s">
        <v>624</v>
      </c>
      <c r="G27" s="35" t="s">
        <v>625</v>
      </c>
      <c r="H27" s="35" t="s">
        <v>626</v>
      </c>
      <c r="I27" s="46" t="s">
        <v>6</v>
      </c>
      <c r="J27" s="31" t="s">
        <v>45</v>
      </c>
      <c r="K27" s="32" t="s">
        <v>45</v>
      </c>
    </row>
    <row r="28" spans="1:11" ht="159.19999999999999" customHeight="1">
      <c r="A28" s="28" t="s">
        <v>376</v>
      </c>
      <c r="B28" s="13" t="s">
        <v>627</v>
      </c>
      <c r="C28" s="29" t="s">
        <v>223</v>
      </c>
      <c r="D28" s="30" t="s">
        <v>216</v>
      </c>
      <c r="E28" s="14" t="s">
        <v>628</v>
      </c>
      <c r="F28" s="14" t="s">
        <v>629</v>
      </c>
      <c r="G28" s="14" t="s">
        <v>630</v>
      </c>
      <c r="H28" s="14" t="s">
        <v>631</v>
      </c>
      <c r="I28" s="46" t="s">
        <v>6</v>
      </c>
      <c r="J28" s="31" t="s">
        <v>45</v>
      </c>
      <c r="K28" s="32" t="s">
        <v>45</v>
      </c>
    </row>
    <row r="29" spans="1:11" ht="159.19999999999999" customHeight="1">
      <c r="A29" s="33" t="s">
        <v>382</v>
      </c>
      <c r="B29" s="47" t="s">
        <v>632</v>
      </c>
      <c r="C29" s="34" t="s">
        <v>223</v>
      </c>
      <c r="D29" s="30" t="s">
        <v>216</v>
      </c>
      <c r="E29" s="35" t="s">
        <v>633</v>
      </c>
      <c r="F29" s="35" t="s">
        <v>634</v>
      </c>
      <c r="G29" s="35" t="s">
        <v>635</v>
      </c>
      <c r="H29" s="35" t="s">
        <v>636</v>
      </c>
      <c r="I29" s="46" t="s">
        <v>6</v>
      </c>
      <c r="J29" s="31" t="s">
        <v>45</v>
      </c>
      <c r="K29" s="32" t="s">
        <v>45</v>
      </c>
    </row>
    <row r="30" spans="1:11" ht="121.35" customHeight="1">
      <c r="A30" s="28" t="s">
        <v>388</v>
      </c>
      <c r="B30" s="13" t="s">
        <v>637</v>
      </c>
      <c r="C30" s="29" t="s">
        <v>223</v>
      </c>
      <c r="D30" s="30" t="s">
        <v>216</v>
      </c>
      <c r="E30" s="14" t="s">
        <v>638</v>
      </c>
      <c r="F30" s="14" t="s">
        <v>639</v>
      </c>
      <c r="G30" s="14" t="s">
        <v>640</v>
      </c>
      <c r="H30" s="14" t="s">
        <v>641</v>
      </c>
      <c r="I30" s="46" t="s">
        <v>6</v>
      </c>
      <c r="J30" s="31" t="s">
        <v>45</v>
      </c>
      <c r="K30" s="32" t="s">
        <v>45</v>
      </c>
    </row>
    <row r="31" spans="1:11" ht="146.65" customHeight="1">
      <c r="A31" s="33" t="s">
        <v>395</v>
      </c>
      <c r="B31" s="47" t="s">
        <v>642</v>
      </c>
      <c r="C31" s="34" t="s">
        <v>332</v>
      </c>
      <c r="D31" s="30" t="s">
        <v>216</v>
      </c>
      <c r="E31" s="35" t="s">
        <v>643</v>
      </c>
      <c r="F31" s="35" t="s">
        <v>644</v>
      </c>
      <c r="G31" s="35" t="s">
        <v>645</v>
      </c>
      <c r="H31" s="35" t="s">
        <v>646</v>
      </c>
      <c r="I31" s="46" t="s">
        <v>6</v>
      </c>
      <c r="J31" s="31" t="s">
        <v>45</v>
      </c>
      <c r="K31" s="32" t="s">
        <v>45</v>
      </c>
    </row>
    <row r="32" spans="1:11" ht="121.35" customHeight="1">
      <c r="A32" s="28" t="s">
        <v>402</v>
      </c>
      <c r="B32" s="13" t="s">
        <v>647</v>
      </c>
      <c r="C32" s="29" t="s">
        <v>332</v>
      </c>
      <c r="D32" s="30" t="s">
        <v>216</v>
      </c>
      <c r="E32" s="14" t="s">
        <v>648</v>
      </c>
      <c r="F32" s="14" t="s">
        <v>649</v>
      </c>
      <c r="G32" s="14" t="s">
        <v>650</v>
      </c>
      <c r="H32" s="14" t="s">
        <v>651</v>
      </c>
      <c r="I32" s="46" t="s">
        <v>6</v>
      </c>
      <c r="J32" s="31" t="s">
        <v>45</v>
      </c>
      <c r="K32" s="32" t="s">
        <v>45</v>
      </c>
    </row>
    <row r="33" spans="1:11" ht="159.19999999999999" customHeight="1">
      <c r="A33" s="33" t="s">
        <v>408</v>
      </c>
      <c r="B33" s="47" t="s">
        <v>652</v>
      </c>
      <c r="C33" s="34" t="s">
        <v>332</v>
      </c>
      <c r="D33" s="30" t="s">
        <v>216</v>
      </c>
      <c r="E33" s="35" t="s">
        <v>653</v>
      </c>
      <c r="F33" s="35" t="s">
        <v>654</v>
      </c>
      <c r="G33" s="35" t="s">
        <v>655</v>
      </c>
      <c r="H33" s="35" t="s">
        <v>656</v>
      </c>
      <c r="I33" s="46" t="s">
        <v>6</v>
      </c>
      <c r="J33" s="31" t="s">
        <v>45</v>
      </c>
      <c r="K33" s="32" t="s">
        <v>45</v>
      </c>
    </row>
    <row r="34" spans="1:11" ht="146.65" customHeight="1">
      <c r="A34" s="28" t="s">
        <v>415</v>
      </c>
      <c r="B34" s="13" t="s">
        <v>657</v>
      </c>
      <c r="C34" s="29" t="s">
        <v>332</v>
      </c>
      <c r="D34" s="30" t="s">
        <v>216</v>
      </c>
      <c r="E34" s="14" t="s">
        <v>658</v>
      </c>
      <c r="F34" s="14" t="s">
        <v>659</v>
      </c>
      <c r="G34" s="14" t="s">
        <v>660</v>
      </c>
      <c r="H34" s="14" t="s">
        <v>661</v>
      </c>
      <c r="I34" s="46" t="s">
        <v>6</v>
      </c>
      <c r="J34" s="31" t="s">
        <v>45</v>
      </c>
      <c r="K34" s="32" t="s">
        <v>45</v>
      </c>
    </row>
    <row r="35" spans="1:11" ht="108.75" customHeight="1">
      <c r="A35" s="33" t="s">
        <v>421</v>
      </c>
      <c r="B35" s="47" t="s">
        <v>662</v>
      </c>
      <c r="C35" s="34" t="s">
        <v>332</v>
      </c>
      <c r="D35" s="36" t="s">
        <v>333</v>
      </c>
      <c r="E35" s="35" t="s">
        <v>663</v>
      </c>
      <c r="F35" s="35" t="s">
        <v>664</v>
      </c>
      <c r="G35" s="35" t="s">
        <v>665</v>
      </c>
      <c r="H35" s="35" t="s">
        <v>666</v>
      </c>
      <c r="I35" s="46" t="s">
        <v>14</v>
      </c>
      <c r="J35" s="31" t="s">
        <v>45</v>
      </c>
      <c r="K35" s="32" t="s">
        <v>401</v>
      </c>
    </row>
    <row r="36" spans="1:11" ht="121.35" customHeight="1">
      <c r="A36" s="28" t="s">
        <v>427</v>
      </c>
      <c r="B36" s="13" t="s">
        <v>667</v>
      </c>
      <c r="C36" s="29" t="s">
        <v>332</v>
      </c>
      <c r="D36" s="36" t="s">
        <v>333</v>
      </c>
      <c r="E36" s="14" t="s">
        <v>668</v>
      </c>
      <c r="F36" s="14" t="s">
        <v>669</v>
      </c>
      <c r="G36" s="14" t="s">
        <v>670</v>
      </c>
      <c r="H36" s="14" t="s">
        <v>671</v>
      </c>
      <c r="I36" s="46" t="s">
        <v>14</v>
      </c>
      <c r="J36" s="31" t="s">
        <v>45</v>
      </c>
      <c r="K36" s="32" t="s">
        <v>401</v>
      </c>
    </row>
    <row r="37" spans="1:11" ht="134.1" customHeight="1">
      <c r="A37" s="33" t="s">
        <v>433</v>
      </c>
      <c r="B37" s="47" t="s">
        <v>672</v>
      </c>
      <c r="C37" s="34" t="s">
        <v>332</v>
      </c>
      <c r="D37" s="36" t="s">
        <v>333</v>
      </c>
      <c r="E37" s="35" t="s">
        <v>673</v>
      </c>
      <c r="F37" s="35" t="s">
        <v>674</v>
      </c>
      <c r="G37" s="35" t="s">
        <v>675</v>
      </c>
      <c r="H37" s="35" t="s">
        <v>676</v>
      </c>
      <c r="I37" s="46" t="s">
        <v>14</v>
      </c>
      <c r="J37" s="31" t="s">
        <v>45</v>
      </c>
      <c r="K37" s="32" t="s">
        <v>401</v>
      </c>
    </row>
  </sheetData>
  <autoFilter ref="A1:K37" xr:uid="{00000000-0009-0000-0000-000004000000}"/>
  <conditionalFormatting sqref="I2:I37">
    <cfRule type="cellIs" dxfId="31" priority="1" operator="equal">
      <formula>"OK"</formula>
    </cfRule>
    <cfRule type="cellIs" dxfId="30" priority="2" operator="equal">
      <formula>"Partial"</formula>
    </cfRule>
    <cfRule type="cellIs" dxfId="29" priority="3" operator="equal">
      <formula>"KO"</formula>
    </cfRule>
    <cfRule type="cellIs" dxfId="28" priority="4" operator="equal">
      <formula>"Blocked"</formula>
    </cfRule>
    <cfRule type="cellIs" dxfId="27" priority="5" operator="equal">
      <formula>"N/A"</formula>
    </cfRule>
    <cfRule type="cellIs" dxfId="26" priority="6" operator="equal">
      <formula>"Not tested"</formula>
    </cfRule>
  </conditionalFormatting>
  <conditionalFormatting sqref="J2:J37">
    <cfRule type="expression" dxfId="25" priority="7">
      <formula>AND(OR($I2="KO",$I2="Blocked",$I2="Partial"),$J2="")</formula>
    </cfRule>
  </conditionalFormatting>
  <conditionalFormatting sqref="K2:K37">
    <cfRule type="expression" dxfId="24" priority="8">
      <formula>AND(OR($I2="KO",$I2="Blocked",$I2="Partial",$I2="N/A"),$K2="")</formula>
    </cfRule>
  </conditionalFormatting>
  <dataValidations count="2">
    <dataValidation type="list" showErrorMessage="1" errorTitle="Pick a value" error="Choose one of: Not tested, OK, Partial, KO, Blocked, N/A" sqref="I2:I37" xr:uid="{00000000-0002-0000-0400-000000000000}">
      <formula1>"Not tested,OK,Partial,KO,Blocked,N/A"</formula1>
    </dataValidation>
    <dataValidation type="list" allowBlank="1" showErrorMessage="1" errorTitle="Pick a value" error="Fill Severity only when RESULT is KO, Partial or Blocked." sqref="J2:J37" xr:uid="{00000000-0002-0000-0400-000002000000}">
      <formula1>"Blocking,Major,Minor"</formula1>
    </dataValidation>
  </dataValidations>
  <pageMargins left="0.3" right="0.3" top="0.4" bottom="0.4" header="0.2" footer="0.2"/>
  <pageSetup paperSize="9" fitToHeight="0" orientation="landscape" horizontalDpi="4294967295" verticalDpi="4294967295"/>
  <headerFooter>
    <oddFooter>&amp;LPathly&amp;CPage &amp;P of &amp;N&amp;R&amp;D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57"/>
  <sheetViews>
    <sheetView workbookViewId="0">
      <pane xSplit="2" ySplit="1" topLeftCell="C2" activePane="bottomRight" state="frozen"/>
      <selection pane="bottomRight" activeCell="J4" sqref="J4"/>
      <selection pane="bottomLeft"/>
      <selection pane="topRight"/>
    </sheetView>
  </sheetViews>
  <sheetFormatPr defaultRowHeight="15"/>
  <cols>
    <col min="2" max="2" width="27" customWidth="1"/>
    <col min="3" max="3" width="15" customWidth="1"/>
    <col min="4" max="4" width="13" customWidth="1"/>
    <col min="5" max="6" width="32" customWidth="1"/>
    <col min="7" max="7" width="50" customWidth="1"/>
    <col min="8" max="8" width="40" customWidth="1"/>
    <col min="9" max="9" width="13" customWidth="1"/>
    <col min="10" max="10" width="12" customWidth="1"/>
    <col min="11" max="11" width="52" customWidth="1"/>
  </cols>
  <sheetData>
    <row r="1" spans="1:11" ht="30" customHeight="1">
      <c r="A1" s="15" t="s">
        <v>202</v>
      </c>
      <c r="B1" s="15" t="s">
        <v>203</v>
      </c>
      <c r="C1" s="15" t="s">
        <v>204</v>
      </c>
      <c r="D1" s="15" t="s">
        <v>205</v>
      </c>
      <c r="E1" s="15" t="s">
        <v>206</v>
      </c>
      <c r="F1" s="15" t="s">
        <v>207</v>
      </c>
      <c r="G1" s="15" t="s">
        <v>208</v>
      </c>
      <c r="H1" s="15" t="s">
        <v>209</v>
      </c>
      <c r="I1" s="45" t="s">
        <v>210</v>
      </c>
      <c r="J1" s="45" t="s">
        <v>211</v>
      </c>
      <c r="K1" s="45" t="s">
        <v>212</v>
      </c>
    </row>
    <row r="2" spans="1:11" ht="83.65" customHeight="1">
      <c r="A2" s="28" t="s">
        <v>213</v>
      </c>
      <c r="B2" s="13" t="s">
        <v>677</v>
      </c>
      <c r="C2" s="29" t="s">
        <v>223</v>
      </c>
      <c r="D2" s="30" t="s">
        <v>216</v>
      </c>
      <c r="E2" s="14" t="s">
        <v>678</v>
      </c>
      <c r="F2" s="14" t="s">
        <v>679</v>
      </c>
      <c r="G2" s="14" t="s">
        <v>680</v>
      </c>
      <c r="H2" s="14" t="s">
        <v>681</v>
      </c>
      <c r="I2" s="46" t="s">
        <v>6</v>
      </c>
      <c r="J2" s="31"/>
      <c r="K2" s="32"/>
    </row>
    <row r="3" spans="1:11" ht="45.75" customHeight="1">
      <c r="A3" s="33" t="s">
        <v>221</v>
      </c>
      <c r="B3" s="47" t="s">
        <v>682</v>
      </c>
      <c r="C3" s="34" t="s">
        <v>223</v>
      </c>
      <c r="D3" s="30" t="s">
        <v>216</v>
      </c>
      <c r="E3" s="35" t="s">
        <v>683</v>
      </c>
      <c r="F3" s="35" t="s">
        <v>684</v>
      </c>
      <c r="G3" s="35" t="s">
        <v>685</v>
      </c>
      <c r="H3" s="35" t="s">
        <v>686</v>
      </c>
      <c r="I3" s="46" t="s">
        <v>6</v>
      </c>
      <c r="J3" s="31" t="s">
        <v>45</v>
      </c>
      <c r="K3" s="32" t="s">
        <v>45</v>
      </c>
    </row>
    <row r="4" spans="1:11" ht="58.35" customHeight="1">
      <c r="A4" s="28" t="s">
        <v>228</v>
      </c>
      <c r="B4" s="13" t="s">
        <v>687</v>
      </c>
      <c r="C4" s="29" t="s">
        <v>223</v>
      </c>
      <c r="D4" s="30" t="s">
        <v>216</v>
      </c>
      <c r="E4" s="14" t="s">
        <v>688</v>
      </c>
      <c r="F4" s="14" t="s">
        <v>689</v>
      </c>
      <c r="G4" s="14" t="s">
        <v>690</v>
      </c>
      <c r="H4" s="14" t="s">
        <v>691</v>
      </c>
      <c r="I4" s="46" t="s">
        <v>6</v>
      </c>
      <c r="J4" s="31"/>
      <c r="K4" s="32" t="s">
        <v>45</v>
      </c>
    </row>
    <row r="5" spans="1:11" ht="45.75" customHeight="1">
      <c r="A5" s="33" t="s">
        <v>236</v>
      </c>
      <c r="B5" s="47" t="s">
        <v>692</v>
      </c>
      <c r="C5" s="34" t="s">
        <v>223</v>
      </c>
      <c r="D5" s="30" t="s">
        <v>216</v>
      </c>
      <c r="E5" s="35" t="s">
        <v>693</v>
      </c>
      <c r="F5" s="35" t="s">
        <v>694</v>
      </c>
      <c r="G5" s="35" t="s">
        <v>695</v>
      </c>
      <c r="H5" s="35" t="s">
        <v>696</v>
      </c>
      <c r="I5" s="46" t="s">
        <v>6</v>
      </c>
      <c r="J5" s="31" t="s">
        <v>45</v>
      </c>
      <c r="K5" s="32" t="s">
        <v>45</v>
      </c>
    </row>
    <row r="6" spans="1:11" ht="45.75" customHeight="1">
      <c r="A6" s="28" t="s">
        <v>241</v>
      </c>
      <c r="B6" s="13" t="s">
        <v>697</v>
      </c>
      <c r="C6" s="29" t="s">
        <v>223</v>
      </c>
      <c r="D6" s="30" t="s">
        <v>216</v>
      </c>
      <c r="E6" s="14" t="s">
        <v>698</v>
      </c>
      <c r="F6" s="14" t="s">
        <v>699</v>
      </c>
      <c r="G6" s="14" t="s">
        <v>700</v>
      </c>
      <c r="H6" s="14" t="s">
        <v>701</v>
      </c>
      <c r="I6" s="46" t="s">
        <v>6</v>
      </c>
      <c r="J6" s="31" t="s">
        <v>45</v>
      </c>
      <c r="K6" s="32" t="s">
        <v>45</v>
      </c>
    </row>
    <row r="7" spans="1:11" ht="45.75" customHeight="1">
      <c r="A7" s="33" t="s">
        <v>246</v>
      </c>
      <c r="B7" s="47" t="s">
        <v>702</v>
      </c>
      <c r="C7" s="34" t="s">
        <v>332</v>
      </c>
      <c r="D7" s="30" t="s">
        <v>216</v>
      </c>
      <c r="E7" s="35" t="s">
        <v>703</v>
      </c>
      <c r="F7" s="35" t="s">
        <v>704</v>
      </c>
      <c r="G7" s="35" t="s">
        <v>705</v>
      </c>
      <c r="H7" s="35" t="s">
        <v>706</v>
      </c>
      <c r="I7" s="46" t="s">
        <v>6</v>
      </c>
      <c r="J7" s="31" t="s">
        <v>45</v>
      </c>
      <c r="K7" s="32" t="s">
        <v>45</v>
      </c>
    </row>
    <row r="8" spans="1:11" ht="33.200000000000003" customHeight="1">
      <c r="A8" s="28" t="s">
        <v>251</v>
      </c>
      <c r="B8" s="13" t="s">
        <v>707</v>
      </c>
      <c r="C8" s="29" t="s">
        <v>332</v>
      </c>
      <c r="D8" s="30" t="s">
        <v>216</v>
      </c>
      <c r="E8" s="14" t="s">
        <v>708</v>
      </c>
      <c r="F8" s="14" t="s">
        <v>709</v>
      </c>
      <c r="G8" s="14" t="s">
        <v>710</v>
      </c>
      <c r="H8" s="14" t="s">
        <v>711</v>
      </c>
      <c r="I8" s="46" t="s">
        <v>6</v>
      </c>
      <c r="J8" s="31" t="s">
        <v>45</v>
      </c>
      <c r="K8" s="32" t="s">
        <v>45</v>
      </c>
    </row>
    <row r="9" spans="1:11" ht="45.75" customHeight="1">
      <c r="A9" s="33" t="s">
        <v>256</v>
      </c>
      <c r="B9" s="47" t="s">
        <v>712</v>
      </c>
      <c r="C9" s="34" t="s">
        <v>332</v>
      </c>
      <c r="D9" s="30" t="s">
        <v>216</v>
      </c>
      <c r="E9" s="35" t="s">
        <v>713</v>
      </c>
      <c r="F9" s="35" t="s">
        <v>714</v>
      </c>
      <c r="G9" s="35" t="s">
        <v>715</v>
      </c>
      <c r="H9" s="35" t="s">
        <v>716</v>
      </c>
      <c r="I9" s="46" t="s">
        <v>6</v>
      </c>
      <c r="J9" s="31" t="s">
        <v>45</v>
      </c>
      <c r="K9" s="32" t="s">
        <v>45</v>
      </c>
    </row>
    <row r="10" spans="1:11" ht="71.099999999999994" customHeight="1">
      <c r="A10" s="28" t="s">
        <v>263</v>
      </c>
      <c r="B10" s="13" t="s">
        <v>717</v>
      </c>
      <c r="C10" s="29" t="s">
        <v>215</v>
      </c>
      <c r="D10" s="36" t="s">
        <v>333</v>
      </c>
      <c r="E10" s="14" t="s">
        <v>718</v>
      </c>
      <c r="F10" s="14" t="s">
        <v>719</v>
      </c>
      <c r="G10" s="14" t="s">
        <v>720</v>
      </c>
      <c r="H10" s="14" t="s">
        <v>721</v>
      </c>
      <c r="I10" s="46" t="s">
        <v>6</v>
      </c>
      <c r="J10" s="31" t="s">
        <v>45</v>
      </c>
      <c r="K10" s="32" t="s">
        <v>45</v>
      </c>
    </row>
    <row r="11" spans="1:11" ht="45.75" customHeight="1">
      <c r="A11" s="33" t="s">
        <v>269</v>
      </c>
      <c r="B11" s="47" t="s">
        <v>722</v>
      </c>
      <c r="C11" s="34" t="s">
        <v>223</v>
      </c>
      <c r="D11" s="30" t="s">
        <v>216</v>
      </c>
      <c r="E11" s="35" t="s">
        <v>723</v>
      </c>
      <c r="F11" s="35" t="s">
        <v>724</v>
      </c>
      <c r="G11" s="35" t="s">
        <v>725</v>
      </c>
      <c r="H11" s="35" t="s">
        <v>726</v>
      </c>
      <c r="I11" s="46" t="s">
        <v>6</v>
      </c>
      <c r="J11" s="31" t="s">
        <v>45</v>
      </c>
      <c r="K11" s="32" t="s">
        <v>45</v>
      </c>
    </row>
    <row r="12" spans="1:11" ht="58.35" customHeight="1">
      <c r="A12" s="28" t="s">
        <v>275</v>
      </c>
      <c r="B12" s="13" t="s">
        <v>727</v>
      </c>
      <c r="C12" s="29" t="s">
        <v>223</v>
      </c>
      <c r="D12" s="30" t="s">
        <v>216</v>
      </c>
      <c r="E12" s="14" t="s">
        <v>728</v>
      </c>
      <c r="F12" s="14" t="s">
        <v>729</v>
      </c>
      <c r="G12" s="14" t="s">
        <v>730</v>
      </c>
      <c r="H12" s="14" t="s">
        <v>731</v>
      </c>
      <c r="I12" s="46" t="s">
        <v>6</v>
      </c>
      <c r="J12" s="31" t="s">
        <v>45</v>
      </c>
      <c r="K12" s="32" t="s">
        <v>45</v>
      </c>
    </row>
    <row r="13" spans="1:11" ht="45.75" customHeight="1">
      <c r="A13" s="33" t="s">
        <v>281</v>
      </c>
      <c r="B13" s="47" t="s">
        <v>732</v>
      </c>
      <c r="C13" s="34" t="s">
        <v>230</v>
      </c>
      <c r="D13" s="30" t="s">
        <v>216</v>
      </c>
      <c r="E13" s="35" t="s">
        <v>733</v>
      </c>
      <c r="F13" s="35" t="s">
        <v>734</v>
      </c>
      <c r="G13" s="35" t="s">
        <v>735</v>
      </c>
      <c r="H13" s="35" t="s">
        <v>736</v>
      </c>
      <c r="I13" s="46" t="s">
        <v>6</v>
      </c>
      <c r="J13" s="31" t="s">
        <v>45</v>
      </c>
      <c r="K13" s="32" t="s">
        <v>45</v>
      </c>
    </row>
    <row r="14" spans="1:11" ht="45.75" customHeight="1">
      <c r="A14" s="28" t="s">
        <v>287</v>
      </c>
      <c r="B14" s="13" t="s">
        <v>737</v>
      </c>
      <c r="C14" s="29" t="s">
        <v>223</v>
      </c>
      <c r="D14" s="30" t="s">
        <v>216</v>
      </c>
      <c r="E14" s="14" t="s">
        <v>738</v>
      </c>
      <c r="F14" s="14" t="s">
        <v>739</v>
      </c>
      <c r="G14" s="14" t="s">
        <v>740</v>
      </c>
      <c r="H14" s="14" t="s">
        <v>741</v>
      </c>
      <c r="I14" s="46" t="s">
        <v>6</v>
      </c>
      <c r="J14" s="31" t="s">
        <v>45</v>
      </c>
      <c r="K14" s="32" t="s">
        <v>45</v>
      </c>
    </row>
    <row r="15" spans="1:11" ht="33.200000000000003" customHeight="1">
      <c r="A15" s="33" t="s">
        <v>293</v>
      </c>
      <c r="B15" s="47" t="s">
        <v>742</v>
      </c>
      <c r="C15" s="34" t="s">
        <v>230</v>
      </c>
      <c r="D15" s="30" t="s">
        <v>216</v>
      </c>
      <c r="E15" s="35" t="s">
        <v>743</v>
      </c>
      <c r="F15" s="35" t="s">
        <v>744</v>
      </c>
      <c r="G15" s="35" t="s">
        <v>745</v>
      </c>
      <c r="H15" s="35" t="s">
        <v>746</v>
      </c>
      <c r="I15" s="46" t="s">
        <v>6</v>
      </c>
      <c r="J15" s="31" t="s">
        <v>45</v>
      </c>
      <c r="K15" s="32" t="s">
        <v>45</v>
      </c>
    </row>
    <row r="16" spans="1:11" ht="45.75" customHeight="1">
      <c r="A16" s="28" t="s">
        <v>299</v>
      </c>
      <c r="B16" s="13" t="s">
        <v>747</v>
      </c>
      <c r="C16" s="29" t="s">
        <v>230</v>
      </c>
      <c r="D16" s="30" t="s">
        <v>216</v>
      </c>
      <c r="E16" s="14" t="s">
        <v>748</v>
      </c>
      <c r="F16" s="14" t="s">
        <v>744</v>
      </c>
      <c r="G16" s="14" t="s">
        <v>749</v>
      </c>
      <c r="H16" s="14" t="s">
        <v>750</v>
      </c>
      <c r="I16" s="46" t="s">
        <v>6</v>
      </c>
      <c r="J16" s="31" t="s">
        <v>45</v>
      </c>
      <c r="K16" s="32" t="s">
        <v>45</v>
      </c>
    </row>
    <row r="17" spans="1:11" ht="45.75" customHeight="1">
      <c r="A17" s="33" t="s">
        <v>305</v>
      </c>
      <c r="B17" s="47" t="s">
        <v>751</v>
      </c>
      <c r="C17" s="34" t="s">
        <v>230</v>
      </c>
      <c r="D17" s="30" t="s">
        <v>216</v>
      </c>
      <c r="E17" s="35" t="s">
        <v>752</v>
      </c>
      <c r="F17" s="35" t="s">
        <v>753</v>
      </c>
      <c r="G17" s="35" t="s">
        <v>754</v>
      </c>
      <c r="H17" s="35" t="s">
        <v>755</v>
      </c>
      <c r="I17" s="46" t="s">
        <v>6</v>
      </c>
      <c r="J17" s="31" t="s">
        <v>45</v>
      </c>
      <c r="K17" s="32" t="s">
        <v>45</v>
      </c>
    </row>
    <row r="18" spans="1:11" ht="58.35" customHeight="1">
      <c r="A18" s="28" t="s">
        <v>311</v>
      </c>
      <c r="B18" s="13" t="s">
        <v>756</v>
      </c>
      <c r="C18" s="29" t="s">
        <v>223</v>
      </c>
      <c r="D18" s="30" t="s">
        <v>216</v>
      </c>
      <c r="E18" s="14" t="s">
        <v>757</v>
      </c>
      <c r="F18" s="14" t="s">
        <v>758</v>
      </c>
      <c r="G18" s="14" t="s">
        <v>759</v>
      </c>
      <c r="H18" s="14" t="s">
        <v>760</v>
      </c>
      <c r="I18" s="46" t="s">
        <v>6</v>
      </c>
      <c r="J18" s="31" t="s">
        <v>45</v>
      </c>
      <c r="K18" s="32" t="s">
        <v>45</v>
      </c>
    </row>
    <row r="19" spans="1:11" ht="71.099999999999994" customHeight="1">
      <c r="A19" s="33" t="s">
        <v>317</v>
      </c>
      <c r="B19" s="47" t="s">
        <v>761</v>
      </c>
      <c r="C19" s="34" t="s">
        <v>223</v>
      </c>
      <c r="D19" s="30" t="s">
        <v>216</v>
      </c>
      <c r="E19" s="35" t="s">
        <v>762</v>
      </c>
      <c r="F19" s="35" t="s">
        <v>763</v>
      </c>
      <c r="G19" s="35" t="s">
        <v>764</v>
      </c>
      <c r="H19" s="35" t="s">
        <v>765</v>
      </c>
      <c r="I19" s="46" t="s">
        <v>6</v>
      </c>
      <c r="J19" s="31" t="s">
        <v>45</v>
      </c>
      <c r="K19" s="32" t="s">
        <v>45</v>
      </c>
    </row>
    <row r="20" spans="1:11" ht="71.099999999999994" customHeight="1">
      <c r="A20" s="28" t="s">
        <v>324</v>
      </c>
      <c r="B20" s="13" t="s">
        <v>766</v>
      </c>
      <c r="C20" s="29" t="s">
        <v>223</v>
      </c>
      <c r="D20" s="30" t="s">
        <v>216</v>
      </c>
      <c r="E20" s="14" t="s">
        <v>767</v>
      </c>
      <c r="F20" s="14" t="s">
        <v>768</v>
      </c>
      <c r="G20" s="14" t="s">
        <v>769</v>
      </c>
      <c r="H20" s="14" t="s">
        <v>770</v>
      </c>
      <c r="I20" s="46" t="s">
        <v>6</v>
      </c>
      <c r="J20" s="31" t="s">
        <v>45</v>
      </c>
      <c r="K20" s="32" t="s">
        <v>45</v>
      </c>
    </row>
    <row r="21" spans="1:11" ht="58.35" customHeight="1">
      <c r="A21" s="33" t="s">
        <v>330</v>
      </c>
      <c r="B21" s="47" t="s">
        <v>771</v>
      </c>
      <c r="C21" s="34" t="s">
        <v>223</v>
      </c>
      <c r="D21" s="30" t="s">
        <v>216</v>
      </c>
      <c r="E21" s="35" t="s">
        <v>772</v>
      </c>
      <c r="F21" s="35" t="s">
        <v>773</v>
      </c>
      <c r="G21" s="35" t="s">
        <v>774</v>
      </c>
      <c r="H21" s="35" t="s">
        <v>775</v>
      </c>
      <c r="I21" s="46" t="s">
        <v>6</v>
      </c>
      <c r="J21" s="31" t="s">
        <v>45</v>
      </c>
      <c r="K21" s="32" t="s">
        <v>45</v>
      </c>
    </row>
    <row r="22" spans="1:11" ht="58.35" customHeight="1">
      <c r="A22" s="28" t="s">
        <v>339</v>
      </c>
      <c r="B22" s="13" t="s">
        <v>776</v>
      </c>
      <c r="C22" s="29" t="s">
        <v>223</v>
      </c>
      <c r="D22" s="30" t="s">
        <v>216</v>
      </c>
      <c r="E22" s="14" t="s">
        <v>777</v>
      </c>
      <c r="F22" s="14" t="s">
        <v>773</v>
      </c>
      <c r="G22" s="14" t="s">
        <v>778</v>
      </c>
      <c r="H22" s="14" t="s">
        <v>779</v>
      </c>
      <c r="I22" s="46" t="s">
        <v>6</v>
      </c>
      <c r="J22" s="31" t="s">
        <v>45</v>
      </c>
      <c r="K22" s="32" t="s">
        <v>45</v>
      </c>
    </row>
    <row r="23" spans="1:11" ht="45.75" customHeight="1">
      <c r="A23" s="33" t="s">
        <v>345</v>
      </c>
      <c r="B23" s="47" t="s">
        <v>780</v>
      </c>
      <c r="C23" s="34" t="s">
        <v>223</v>
      </c>
      <c r="D23" s="30" t="s">
        <v>216</v>
      </c>
      <c r="E23" s="35" t="s">
        <v>781</v>
      </c>
      <c r="F23" s="35" t="s">
        <v>782</v>
      </c>
      <c r="G23" s="35" t="s">
        <v>783</v>
      </c>
      <c r="H23" s="35" t="s">
        <v>784</v>
      </c>
      <c r="I23" s="46" t="s">
        <v>6</v>
      </c>
      <c r="J23" s="31" t="s">
        <v>45</v>
      </c>
      <c r="K23" s="32" t="s">
        <v>45</v>
      </c>
    </row>
    <row r="24" spans="1:11" ht="45.75" customHeight="1">
      <c r="A24" s="28" t="s">
        <v>351</v>
      </c>
      <c r="B24" s="13" t="s">
        <v>785</v>
      </c>
      <c r="C24" s="29" t="s">
        <v>230</v>
      </c>
      <c r="D24" s="30" t="s">
        <v>216</v>
      </c>
      <c r="E24" s="14" t="s">
        <v>786</v>
      </c>
      <c r="F24" s="14" t="s">
        <v>787</v>
      </c>
      <c r="G24" s="14" t="s">
        <v>788</v>
      </c>
      <c r="H24" s="14" t="s">
        <v>789</v>
      </c>
      <c r="I24" s="46" t="s">
        <v>6</v>
      </c>
      <c r="J24" s="31" t="s">
        <v>45</v>
      </c>
      <c r="K24" s="32" t="s">
        <v>45</v>
      </c>
    </row>
    <row r="25" spans="1:11" ht="71.099999999999994" customHeight="1">
      <c r="A25" s="33" t="s">
        <v>358</v>
      </c>
      <c r="B25" s="47" t="s">
        <v>790</v>
      </c>
      <c r="C25" s="34" t="s">
        <v>223</v>
      </c>
      <c r="D25" s="30" t="s">
        <v>216</v>
      </c>
      <c r="E25" s="35" t="s">
        <v>791</v>
      </c>
      <c r="F25" s="35" t="s">
        <v>792</v>
      </c>
      <c r="G25" s="35" t="s">
        <v>793</v>
      </c>
      <c r="H25" s="35" t="s">
        <v>794</v>
      </c>
      <c r="I25" s="46" t="s">
        <v>6</v>
      </c>
      <c r="J25" s="31" t="s">
        <v>45</v>
      </c>
      <c r="K25" s="32" t="s">
        <v>45</v>
      </c>
    </row>
    <row r="26" spans="1:11" ht="45.75" customHeight="1">
      <c r="A26" s="28" t="s">
        <v>364</v>
      </c>
      <c r="B26" s="13" t="s">
        <v>795</v>
      </c>
      <c r="C26" s="29" t="s">
        <v>223</v>
      </c>
      <c r="D26" s="30" t="s">
        <v>216</v>
      </c>
      <c r="E26" s="14" t="s">
        <v>796</v>
      </c>
      <c r="F26" s="14" t="s">
        <v>797</v>
      </c>
      <c r="G26" s="14" t="s">
        <v>798</v>
      </c>
      <c r="H26" s="14" t="s">
        <v>799</v>
      </c>
      <c r="I26" s="46" t="s">
        <v>6</v>
      </c>
      <c r="J26" s="31" t="s">
        <v>45</v>
      </c>
      <c r="K26" s="32" t="s">
        <v>45</v>
      </c>
    </row>
    <row r="27" spans="1:11" ht="45.75" customHeight="1">
      <c r="A27" s="33" t="s">
        <v>370</v>
      </c>
      <c r="B27" s="47" t="s">
        <v>800</v>
      </c>
      <c r="C27" s="34" t="s">
        <v>230</v>
      </c>
      <c r="D27" s="30" t="s">
        <v>216</v>
      </c>
      <c r="E27" s="35" t="s">
        <v>801</v>
      </c>
      <c r="F27" s="35" t="s">
        <v>797</v>
      </c>
      <c r="G27" s="35" t="s">
        <v>802</v>
      </c>
      <c r="H27" s="35" t="s">
        <v>803</v>
      </c>
      <c r="I27" s="46" t="s">
        <v>6</v>
      </c>
      <c r="J27" s="31" t="s">
        <v>45</v>
      </c>
      <c r="K27" s="32" t="s">
        <v>45</v>
      </c>
    </row>
    <row r="28" spans="1:11" ht="108.75" customHeight="1">
      <c r="A28" s="28" t="s">
        <v>376</v>
      </c>
      <c r="B28" s="13" t="s">
        <v>804</v>
      </c>
      <c r="C28" s="29" t="s">
        <v>223</v>
      </c>
      <c r="D28" s="36" t="s">
        <v>333</v>
      </c>
      <c r="E28" s="14" t="s">
        <v>805</v>
      </c>
      <c r="F28" s="14" t="s">
        <v>806</v>
      </c>
      <c r="G28" s="14" t="s">
        <v>807</v>
      </c>
      <c r="H28" s="14" t="s">
        <v>808</v>
      </c>
      <c r="I28" s="46" t="s">
        <v>14</v>
      </c>
      <c r="J28" s="31" t="s">
        <v>45</v>
      </c>
      <c r="K28" s="32" t="s">
        <v>401</v>
      </c>
    </row>
    <row r="29" spans="1:11" ht="58.35" customHeight="1">
      <c r="A29" s="33" t="s">
        <v>382</v>
      </c>
      <c r="B29" s="47" t="s">
        <v>809</v>
      </c>
      <c r="C29" s="34" t="s">
        <v>223</v>
      </c>
      <c r="D29" s="30" t="s">
        <v>216</v>
      </c>
      <c r="E29" s="35" t="s">
        <v>810</v>
      </c>
      <c r="F29" s="35" t="s">
        <v>811</v>
      </c>
      <c r="G29" s="35" t="s">
        <v>812</v>
      </c>
      <c r="H29" s="35" t="s">
        <v>813</v>
      </c>
      <c r="I29" s="46" t="s">
        <v>6</v>
      </c>
      <c r="J29" s="31" t="s">
        <v>45</v>
      </c>
      <c r="K29" s="32" t="s">
        <v>45</v>
      </c>
    </row>
    <row r="30" spans="1:11" ht="58.35" customHeight="1">
      <c r="A30" s="28" t="s">
        <v>388</v>
      </c>
      <c r="B30" s="13" t="s">
        <v>814</v>
      </c>
      <c r="C30" s="29" t="s">
        <v>230</v>
      </c>
      <c r="D30" s="30" t="s">
        <v>216</v>
      </c>
      <c r="E30" s="14" t="s">
        <v>815</v>
      </c>
      <c r="F30" s="14" t="s">
        <v>816</v>
      </c>
      <c r="G30" s="14" t="s">
        <v>817</v>
      </c>
      <c r="H30" s="14" t="s">
        <v>818</v>
      </c>
      <c r="I30" s="46" t="s">
        <v>6</v>
      </c>
      <c r="J30" s="31" t="s">
        <v>45</v>
      </c>
      <c r="K30" s="32" t="s">
        <v>45</v>
      </c>
    </row>
    <row r="31" spans="1:11" ht="159.19999999999999" customHeight="1">
      <c r="A31" s="33" t="s">
        <v>395</v>
      </c>
      <c r="B31" s="47" t="s">
        <v>819</v>
      </c>
      <c r="C31" s="34" t="s">
        <v>223</v>
      </c>
      <c r="D31" s="36" t="s">
        <v>333</v>
      </c>
      <c r="E31" s="35" t="s">
        <v>820</v>
      </c>
      <c r="F31" s="35" t="s">
        <v>821</v>
      </c>
      <c r="G31" s="35" t="s">
        <v>822</v>
      </c>
      <c r="H31" s="35" t="s">
        <v>823</v>
      </c>
      <c r="I31" s="46" t="s">
        <v>14</v>
      </c>
      <c r="J31" s="31" t="s">
        <v>45</v>
      </c>
      <c r="K31" s="32" t="s">
        <v>401</v>
      </c>
    </row>
    <row r="32" spans="1:11" ht="58.35" customHeight="1">
      <c r="A32" s="28" t="s">
        <v>402</v>
      </c>
      <c r="B32" s="13" t="s">
        <v>824</v>
      </c>
      <c r="C32" s="29" t="s">
        <v>332</v>
      </c>
      <c r="D32" s="30" t="s">
        <v>216</v>
      </c>
      <c r="E32" s="14" t="s">
        <v>825</v>
      </c>
      <c r="F32" s="14" t="s">
        <v>826</v>
      </c>
      <c r="G32" s="14" t="s">
        <v>827</v>
      </c>
      <c r="H32" s="14" t="s">
        <v>828</v>
      </c>
      <c r="I32" s="46" t="s">
        <v>6</v>
      </c>
      <c r="J32" s="31" t="s">
        <v>45</v>
      </c>
      <c r="K32" s="32" t="s">
        <v>45</v>
      </c>
    </row>
    <row r="33" spans="1:11" ht="58.35" customHeight="1">
      <c r="A33" s="33" t="s">
        <v>408</v>
      </c>
      <c r="B33" s="47" t="s">
        <v>829</v>
      </c>
      <c r="C33" s="34" t="s">
        <v>332</v>
      </c>
      <c r="D33" s="30" t="s">
        <v>216</v>
      </c>
      <c r="E33" s="35" t="s">
        <v>830</v>
      </c>
      <c r="F33" s="35" t="s">
        <v>831</v>
      </c>
      <c r="G33" s="35" t="s">
        <v>832</v>
      </c>
      <c r="H33" s="35" t="s">
        <v>833</v>
      </c>
      <c r="I33" s="46" t="s">
        <v>6</v>
      </c>
      <c r="J33" s="31" t="s">
        <v>45</v>
      </c>
      <c r="K33" s="32" t="s">
        <v>45</v>
      </c>
    </row>
    <row r="34" spans="1:11" ht="71.099999999999994" customHeight="1">
      <c r="A34" s="28" t="s">
        <v>415</v>
      </c>
      <c r="B34" s="13" t="s">
        <v>834</v>
      </c>
      <c r="C34" s="29" t="s">
        <v>223</v>
      </c>
      <c r="D34" s="30" t="s">
        <v>216</v>
      </c>
      <c r="E34" s="14" t="s">
        <v>835</v>
      </c>
      <c r="F34" s="14" t="s">
        <v>836</v>
      </c>
      <c r="G34" s="14" t="s">
        <v>837</v>
      </c>
      <c r="H34" s="14" t="s">
        <v>838</v>
      </c>
      <c r="I34" s="46" t="s">
        <v>6</v>
      </c>
      <c r="J34" s="31" t="s">
        <v>45</v>
      </c>
      <c r="K34" s="32" t="s">
        <v>45</v>
      </c>
    </row>
    <row r="35" spans="1:11" ht="45.75" customHeight="1">
      <c r="A35" s="33" t="s">
        <v>421</v>
      </c>
      <c r="B35" s="47" t="s">
        <v>839</v>
      </c>
      <c r="C35" s="34" t="s">
        <v>223</v>
      </c>
      <c r="D35" s="30" t="s">
        <v>216</v>
      </c>
      <c r="E35" s="35" t="s">
        <v>840</v>
      </c>
      <c r="F35" s="35" t="s">
        <v>841</v>
      </c>
      <c r="G35" s="35" t="s">
        <v>842</v>
      </c>
      <c r="H35" s="35" t="s">
        <v>843</v>
      </c>
      <c r="I35" s="46" t="s">
        <v>6</v>
      </c>
      <c r="J35" s="31" t="s">
        <v>45</v>
      </c>
      <c r="K35" s="32" t="s">
        <v>45</v>
      </c>
    </row>
    <row r="36" spans="1:11" ht="297.75" customHeight="1">
      <c r="A36" s="28" t="s">
        <v>427</v>
      </c>
      <c r="B36" s="13" t="s">
        <v>844</v>
      </c>
      <c r="C36" s="29" t="s">
        <v>223</v>
      </c>
      <c r="D36" s="36" t="s">
        <v>333</v>
      </c>
      <c r="E36" s="14" t="s">
        <v>845</v>
      </c>
      <c r="F36" s="14" t="s">
        <v>846</v>
      </c>
      <c r="G36" s="14" t="s">
        <v>847</v>
      </c>
      <c r="H36" s="14" t="s">
        <v>848</v>
      </c>
      <c r="I36" s="46" t="s">
        <v>14</v>
      </c>
      <c r="J36" s="31" t="s">
        <v>45</v>
      </c>
      <c r="K36" s="32" t="s">
        <v>401</v>
      </c>
    </row>
    <row r="37" spans="1:11" ht="71.099999999999994" customHeight="1">
      <c r="A37" s="33" t="s">
        <v>433</v>
      </c>
      <c r="B37" s="47" t="s">
        <v>849</v>
      </c>
      <c r="C37" s="34" t="s">
        <v>230</v>
      </c>
      <c r="D37" s="30" t="s">
        <v>216</v>
      </c>
      <c r="E37" s="35" t="s">
        <v>850</v>
      </c>
      <c r="F37" s="35" t="s">
        <v>841</v>
      </c>
      <c r="G37" s="35" t="s">
        <v>851</v>
      </c>
      <c r="H37" s="35" t="s">
        <v>852</v>
      </c>
      <c r="I37" s="46" t="s">
        <v>6</v>
      </c>
      <c r="J37" s="31" t="s">
        <v>45</v>
      </c>
      <c r="K37" s="32" t="s">
        <v>45</v>
      </c>
    </row>
    <row r="38" spans="1:11" ht="58.35" customHeight="1">
      <c r="A38" s="28" t="s">
        <v>439</v>
      </c>
      <c r="B38" s="13" t="s">
        <v>853</v>
      </c>
      <c r="C38" s="29" t="s">
        <v>332</v>
      </c>
      <c r="D38" s="30" t="s">
        <v>216</v>
      </c>
      <c r="E38" s="14" t="s">
        <v>854</v>
      </c>
      <c r="F38" s="14" t="s">
        <v>855</v>
      </c>
      <c r="G38" s="14" t="s">
        <v>856</v>
      </c>
      <c r="H38" s="14" t="s">
        <v>857</v>
      </c>
      <c r="I38" s="46" t="s">
        <v>6</v>
      </c>
      <c r="J38" s="31" t="s">
        <v>45</v>
      </c>
      <c r="K38" s="32" t="s">
        <v>45</v>
      </c>
    </row>
    <row r="39" spans="1:11" ht="45.75" customHeight="1">
      <c r="A39" s="33" t="s">
        <v>445</v>
      </c>
      <c r="B39" s="47" t="s">
        <v>858</v>
      </c>
      <c r="C39" s="34" t="s">
        <v>223</v>
      </c>
      <c r="D39" s="30" t="s">
        <v>216</v>
      </c>
      <c r="E39" s="35" t="s">
        <v>859</v>
      </c>
      <c r="F39" s="35" t="s">
        <v>841</v>
      </c>
      <c r="G39" s="35" t="s">
        <v>860</v>
      </c>
      <c r="H39" s="35" t="s">
        <v>861</v>
      </c>
      <c r="I39" s="46" t="s">
        <v>6</v>
      </c>
      <c r="J39" s="31" t="s">
        <v>45</v>
      </c>
      <c r="K39" s="32" t="s">
        <v>45</v>
      </c>
    </row>
    <row r="40" spans="1:11" ht="33.200000000000003" customHeight="1">
      <c r="A40" s="28" t="s">
        <v>451</v>
      </c>
      <c r="B40" s="13" t="s">
        <v>862</v>
      </c>
      <c r="C40" s="29" t="s">
        <v>332</v>
      </c>
      <c r="D40" s="30" t="s">
        <v>216</v>
      </c>
      <c r="E40" s="14" t="s">
        <v>863</v>
      </c>
      <c r="F40" s="14" t="s">
        <v>841</v>
      </c>
      <c r="G40" s="14" t="s">
        <v>864</v>
      </c>
      <c r="H40" s="14" t="s">
        <v>865</v>
      </c>
      <c r="I40" s="46" t="s">
        <v>6</v>
      </c>
      <c r="J40" s="31" t="s">
        <v>45</v>
      </c>
      <c r="K40" s="32" t="s">
        <v>45</v>
      </c>
    </row>
    <row r="41" spans="1:11" ht="45.75" customHeight="1">
      <c r="A41" s="33" t="s">
        <v>457</v>
      </c>
      <c r="B41" s="47" t="s">
        <v>866</v>
      </c>
      <c r="C41" s="34" t="s">
        <v>215</v>
      </c>
      <c r="D41" s="30" t="s">
        <v>216</v>
      </c>
      <c r="E41" s="35" t="s">
        <v>867</v>
      </c>
      <c r="F41" s="35" t="s">
        <v>868</v>
      </c>
      <c r="G41" s="35" t="s">
        <v>869</v>
      </c>
      <c r="H41" s="35" t="s">
        <v>870</v>
      </c>
      <c r="I41" s="46" t="s">
        <v>6</v>
      </c>
      <c r="J41" s="31" t="s">
        <v>45</v>
      </c>
      <c r="K41" s="32" t="s">
        <v>45</v>
      </c>
    </row>
    <row r="42" spans="1:11" ht="71.099999999999994" customHeight="1">
      <c r="A42" s="28" t="s">
        <v>463</v>
      </c>
      <c r="B42" s="13" t="s">
        <v>871</v>
      </c>
      <c r="C42" s="29" t="s">
        <v>223</v>
      </c>
      <c r="D42" s="30" t="s">
        <v>216</v>
      </c>
      <c r="E42" s="14" t="s">
        <v>872</v>
      </c>
      <c r="F42" s="14" t="s">
        <v>873</v>
      </c>
      <c r="G42" s="14" t="s">
        <v>874</v>
      </c>
      <c r="H42" s="14" t="s">
        <v>875</v>
      </c>
      <c r="I42" s="46" t="s">
        <v>6</v>
      </c>
      <c r="J42" s="31" t="s">
        <v>45</v>
      </c>
      <c r="K42" s="32" t="s">
        <v>45</v>
      </c>
    </row>
    <row r="43" spans="1:11" ht="58.35" customHeight="1">
      <c r="A43" s="33" t="s">
        <v>469</v>
      </c>
      <c r="B43" s="47" t="s">
        <v>876</v>
      </c>
      <c r="C43" s="34" t="s">
        <v>332</v>
      </c>
      <c r="D43" s="30" t="s">
        <v>216</v>
      </c>
      <c r="E43" s="35" t="s">
        <v>877</v>
      </c>
      <c r="F43" s="35" t="s">
        <v>878</v>
      </c>
      <c r="G43" s="35" t="s">
        <v>879</v>
      </c>
      <c r="H43" s="35" t="s">
        <v>880</v>
      </c>
      <c r="I43" s="46" t="s">
        <v>6</v>
      </c>
      <c r="J43" s="31" t="s">
        <v>45</v>
      </c>
      <c r="K43" s="32" t="s">
        <v>45</v>
      </c>
    </row>
    <row r="44" spans="1:11" ht="58.35" customHeight="1">
      <c r="A44" s="28" t="s">
        <v>475</v>
      </c>
      <c r="B44" s="13" t="s">
        <v>881</v>
      </c>
      <c r="C44" s="29" t="s">
        <v>332</v>
      </c>
      <c r="D44" s="30" t="s">
        <v>216</v>
      </c>
      <c r="E44" s="14" t="s">
        <v>882</v>
      </c>
      <c r="F44" s="14" t="s">
        <v>773</v>
      </c>
      <c r="G44" s="14" t="s">
        <v>883</v>
      </c>
      <c r="H44" s="14" t="s">
        <v>884</v>
      </c>
      <c r="I44" s="46" t="s">
        <v>6</v>
      </c>
      <c r="J44" s="31" t="s">
        <v>45</v>
      </c>
      <c r="K44" s="32" t="s">
        <v>45</v>
      </c>
    </row>
    <row r="45" spans="1:11" ht="45.75" customHeight="1">
      <c r="A45" s="33" t="s">
        <v>481</v>
      </c>
      <c r="B45" s="47" t="s">
        <v>885</v>
      </c>
      <c r="C45" s="34" t="s">
        <v>230</v>
      </c>
      <c r="D45" s="30" t="s">
        <v>216</v>
      </c>
      <c r="E45" s="35" t="s">
        <v>886</v>
      </c>
      <c r="F45" s="35" t="s">
        <v>816</v>
      </c>
      <c r="G45" s="35" t="s">
        <v>887</v>
      </c>
      <c r="H45" s="35" t="s">
        <v>888</v>
      </c>
      <c r="I45" s="46" t="s">
        <v>6</v>
      </c>
      <c r="J45" s="31" t="s">
        <v>45</v>
      </c>
      <c r="K45" s="32" t="s">
        <v>45</v>
      </c>
    </row>
    <row r="46" spans="1:11" ht="45.75" customHeight="1">
      <c r="A46" s="28" t="s">
        <v>487</v>
      </c>
      <c r="B46" s="13" t="s">
        <v>889</v>
      </c>
      <c r="C46" s="29" t="s">
        <v>230</v>
      </c>
      <c r="D46" s="30" t="s">
        <v>216</v>
      </c>
      <c r="E46" s="14" t="s">
        <v>890</v>
      </c>
      <c r="F46" s="14" t="s">
        <v>773</v>
      </c>
      <c r="G46" s="14" t="s">
        <v>891</v>
      </c>
      <c r="H46" s="14" t="s">
        <v>892</v>
      </c>
      <c r="I46" s="46" t="s">
        <v>6</v>
      </c>
      <c r="J46" s="31" t="s">
        <v>45</v>
      </c>
      <c r="K46" s="32" t="s">
        <v>45</v>
      </c>
    </row>
    <row r="47" spans="1:11" ht="45.75" customHeight="1">
      <c r="A47" s="33" t="s">
        <v>893</v>
      </c>
      <c r="B47" s="47" t="s">
        <v>894</v>
      </c>
      <c r="C47" s="34" t="s">
        <v>332</v>
      </c>
      <c r="D47" s="30" t="s">
        <v>216</v>
      </c>
      <c r="E47" s="35" t="s">
        <v>895</v>
      </c>
      <c r="F47" s="35" t="s">
        <v>896</v>
      </c>
      <c r="G47" s="35" t="s">
        <v>897</v>
      </c>
      <c r="H47" s="35" t="s">
        <v>898</v>
      </c>
      <c r="I47" s="46" t="s">
        <v>6</v>
      </c>
      <c r="J47" s="31" t="s">
        <v>45</v>
      </c>
      <c r="K47" s="32" t="s">
        <v>45</v>
      </c>
    </row>
    <row r="48" spans="1:11" ht="96.2" customHeight="1">
      <c r="A48" s="28" t="s">
        <v>899</v>
      </c>
      <c r="B48" s="13" t="s">
        <v>900</v>
      </c>
      <c r="C48" s="29" t="s">
        <v>332</v>
      </c>
      <c r="D48" s="36" t="s">
        <v>333</v>
      </c>
      <c r="E48" s="14" t="s">
        <v>901</v>
      </c>
      <c r="F48" s="14" t="s">
        <v>902</v>
      </c>
      <c r="G48" s="14" t="s">
        <v>903</v>
      </c>
      <c r="H48" s="14" t="s">
        <v>904</v>
      </c>
      <c r="I48" s="46" t="s">
        <v>14</v>
      </c>
      <c r="J48" s="31" t="s">
        <v>45</v>
      </c>
      <c r="K48" s="32" t="s">
        <v>401</v>
      </c>
    </row>
    <row r="49" spans="1:11" ht="171.75" customHeight="1">
      <c r="A49" s="33" t="s">
        <v>905</v>
      </c>
      <c r="B49" s="47" t="s">
        <v>906</v>
      </c>
      <c r="C49" s="34" t="s">
        <v>215</v>
      </c>
      <c r="D49" s="36" t="s">
        <v>333</v>
      </c>
      <c r="E49" s="35" t="s">
        <v>907</v>
      </c>
      <c r="F49" s="35" t="s">
        <v>908</v>
      </c>
      <c r="G49" s="35" t="s">
        <v>909</v>
      </c>
      <c r="H49" s="35" t="s">
        <v>910</v>
      </c>
      <c r="I49" s="46" t="s">
        <v>14</v>
      </c>
      <c r="J49" s="31" t="s">
        <v>45</v>
      </c>
      <c r="K49" s="32" t="s">
        <v>401</v>
      </c>
    </row>
    <row r="50" spans="1:11" ht="58.35" customHeight="1">
      <c r="A50" s="28" t="s">
        <v>911</v>
      </c>
      <c r="B50" s="13" t="s">
        <v>912</v>
      </c>
      <c r="C50" s="29" t="s">
        <v>223</v>
      </c>
      <c r="D50" s="36" t="s">
        <v>333</v>
      </c>
      <c r="E50" s="14" t="s">
        <v>913</v>
      </c>
      <c r="F50" s="38" t="s">
        <v>914</v>
      </c>
      <c r="G50" s="14" t="s">
        <v>915</v>
      </c>
      <c r="H50" s="14" t="s">
        <v>916</v>
      </c>
      <c r="I50" s="46" t="s">
        <v>14</v>
      </c>
      <c r="J50" s="31" t="s">
        <v>45</v>
      </c>
      <c r="K50" s="32" t="s">
        <v>917</v>
      </c>
    </row>
    <row r="51" spans="1:11" ht="58.35" customHeight="1">
      <c r="A51" s="33" t="s">
        <v>918</v>
      </c>
      <c r="B51" s="47" t="s">
        <v>919</v>
      </c>
      <c r="C51" s="34" t="s">
        <v>223</v>
      </c>
      <c r="D51" s="36" t="s">
        <v>333</v>
      </c>
      <c r="E51" s="35" t="s">
        <v>920</v>
      </c>
      <c r="F51" s="39" t="s">
        <v>921</v>
      </c>
      <c r="G51" s="35" t="s">
        <v>922</v>
      </c>
      <c r="H51" s="35" t="s">
        <v>923</v>
      </c>
      <c r="I51" s="46" t="s">
        <v>14</v>
      </c>
      <c r="J51" s="31" t="s">
        <v>45</v>
      </c>
      <c r="K51" s="32" t="s">
        <v>917</v>
      </c>
    </row>
    <row r="52" spans="1:11" ht="71.099999999999994" customHeight="1">
      <c r="A52" s="28" t="s">
        <v>924</v>
      </c>
      <c r="B52" s="13" t="s">
        <v>925</v>
      </c>
      <c r="C52" s="29" t="s">
        <v>332</v>
      </c>
      <c r="D52" s="36" t="s">
        <v>333</v>
      </c>
      <c r="E52" s="14" t="s">
        <v>926</v>
      </c>
      <c r="F52" s="38" t="s">
        <v>927</v>
      </c>
      <c r="G52" s="14" t="s">
        <v>928</v>
      </c>
      <c r="H52" s="14" t="s">
        <v>929</v>
      </c>
      <c r="I52" s="46" t="s">
        <v>14</v>
      </c>
      <c r="J52" s="31" t="s">
        <v>45</v>
      </c>
      <c r="K52" s="32" t="s">
        <v>917</v>
      </c>
    </row>
    <row r="53" spans="1:11" ht="58.35" customHeight="1">
      <c r="A53" s="33" t="s">
        <v>930</v>
      </c>
      <c r="B53" s="47" t="s">
        <v>931</v>
      </c>
      <c r="C53" s="34" t="s">
        <v>332</v>
      </c>
      <c r="D53" s="36" t="s">
        <v>333</v>
      </c>
      <c r="E53" s="35" t="s">
        <v>932</v>
      </c>
      <c r="F53" s="39" t="s">
        <v>921</v>
      </c>
      <c r="G53" s="35" t="s">
        <v>933</v>
      </c>
      <c r="H53" s="35" t="s">
        <v>934</v>
      </c>
      <c r="I53" s="46" t="s">
        <v>14</v>
      </c>
      <c r="J53" s="31" t="s">
        <v>45</v>
      </c>
      <c r="K53" s="32" t="s">
        <v>917</v>
      </c>
    </row>
    <row r="54" spans="1:11" ht="71.099999999999994" customHeight="1">
      <c r="A54" s="28" t="s">
        <v>935</v>
      </c>
      <c r="B54" s="13" t="s">
        <v>936</v>
      </c>
      <c r="C54" s="29" t="s">
        <v>223</v>
      </c>
      <c r="D54" s="36" t="s">
        <v>333</v>
      </c>
      <c r="E54" s="14" t="s">
        <v>937</v>
      </c>
      <c r="F54" s="38" t="s">
        <v>921</v>
      </c>
      <c r="G54" s="14" t="s">
        <v>938</v>
      </c>
      <c r="H54" s="14" t="s">
        <v>939</v>
      </c>
      <c r="I54" s="46" t="s">
        <v>14</v>
      </c>
      <c r="J54" s="31" t="s">
        <v>45</v>
      </c>
      <c r="K54" s="32" t="s">
        <v>917</v>
      </c>
    </row>
    <row r="55" spans="1:11" ht="58.35" customHeight="1">
      <c r="A55" s="33" t="s">
        <v>940</v>
      </c>
      <c r="B55" s="47" t="s">
        <v>941</v>
      </c>
      <c r="C55" s="34" t="s">
        <v>332</v>
      </c>
      <c r="D55" s="36" t="s">
        <v>333</v>
      </c>
      <c r="E55" s="35" t="s">
        <v>942</v>
      </c>
      <c r="F55" s="39" t="s">
        <v>921</v>
      </c>
      <c r="G55" s="35" t="s">
        <v>943</v>
      </c>
      <c r="H55" s="35" t="s">
        <v>944</v>
      </c>
      <c r="I55" s="46" t="s">
        <v>14</v>
      </c>
      <c r="J55" s="31" t="s">
        <v>45</v>
      </c>
      <c r="K55" s="32" t="s">
        <v>917</v>
      </c>
    </row>
    <row r="56" spans="1:11" ht="146.65" customHeight="1">
      <c r="A56" s="28" t="s">
        <v>945</v>
      </c>
      <c r="B56" s="13" t="s">
        <v>946</v>
      </c>
      <c r="C56" s="29" t="s">
        <v>215</v>
      </c>
      <c r="D56" s="36" t="s">
        <v>333</v>
      </c>
      <c r="E56" s="14" t="s">
        <v>947</v>
      </c>
      <c r="F56" s="38" t="s">
        <v>948</v>
      </c>
      <c r="G56" s="14" t="s">
        <v>949</v>
      </c>
      <c r="H56" s="14" t="s">
        <v>950</v>
      </c>
      <c r="I56" s="46" t="s">
        <v>14</v>
      </c>
      <c r="J56" s="31" t="s">
        <v>45</v>
      </c>
      <c r="K56" s="32" t="s">
        <v>917</v>
      </c>
    </row>
    <row r="57" spans="1:11" ht="71.099999999999994" customHeight="1">
      <c r="A57" s="33" t="s">
        <v>951</v>
      </c>
      <c r="B57" s="47" t="s">
        <v>952</v>
      </c>
      <c r="C57" s="34" t="s">
        <v>215</v>
      </c>
      <c r="D57" s="36" t="s">
        <v>333</v>
      </c>
      <c r="E57" s="35" t="s">
        <v>953</v>
      </c>
      <c r="F57" s="39" t="s">
        <v>954</v>
      </c>
      <c r="G57" s="35" t="s">
        <v>955</v>
      </c>
      <c r="H57" s="35" t="s">
        <v>956</v>
      </c>
      <c r="I57" s="46" t="s">
        <v>14</v>
      </c>
      <c r="J57" s="31" t="s">
        <v>45</v>
      </c>
      <c r="K57" s="32" t="s">
        <v>917</v>
      </c>
    </row>
  </sheetData>
  <autoFilter ref="A1:K57" xr:uid="{00000000-0009-0000-0000-000003000000}"/>
  <conditionalFormatting sqref="I2:I57">
    <cfRule type="cellIs" dxfId="23" priority="1" operator="equal">
      <formula>"OK"</formula>
    </cfRule>
    <cfRule type="cellIs" dxfId="22" priority="2" operator="equal">
      <formula>"Partial"</formula>
    </cfRule>
    <cfRule type="cellIs" dxfId="21" priority="3" operator="equal">
      <formula>"KO"</formula>
    </cfRule>
    <cfRule type="cellIs" dxfId="20" priority="4" operator="equal">
      <formula>"Blocked"</formula>
    </cfRule>
    <cfRule type="cellIs" dxfId="19" priority="5" operator="equal">
      <formula>"N/A"</formula>
    </cfRule>
    <cfRule type="cellIs" dxfId="18" priority="6" operator="equal">
      <formula>"Not tested"</formula>
    </cfRule>
  </conditionalFormatting>
  <conditionalFormatting sqref="J2:J57">
    <cfRule type="expression" dxfId="17" priority="7">
      <formula>AND(OR($I2="KO",$I2="Blocked",$I2="Partial"),$J2="")</formula>
    </cfRule>
  </conditionalFormatting>
  <conditionalFormatting sqref="K2:K57">
    <cfRule type="expression" dxfId="16" priority="8">
      <formula>AND(OR($I2="KO",$I2="Blocked",$I2="Partial",$I2="N/A"),$K2="")</formula>
    </cfRule>
  </conditionalFormatting>
  <dataValidations count="2">
    <dataValidation type="list" showErrorMessage="1" errorTitle="Pick a value" error="Choose one of: Not tested, OK, Partial, KO, Blocked, N/A" sqref="I2:I57" xr:uid="{00000000-0002-0000-0300-000000000000}">
      <formula1>"Not tested,OK,Partial,KO,Blocked,N/A"</formula1>
    </dataValidation>
    <dataValidation type="list" allowBlank="1" showErrorMessage="1" errorTitle="Pick a value" error="Fill Severity only when RESULT is KO, Partial or Blocked." sqref="J2:J57" xr:uid="{00000000-0002-0000-0300-000002000000}">
      <formula1>"Blocking,Major,Minor"</formula1>
    </dataValidation>
  </dataValidations>
  <pageMargins left="0.3" right="0.3" top="0.4" bottom="0.4" header="0.2" footer="0.2"/>
  <pageSetup paperSize="9" fitToHeight="0" orientation="landscape" horizontalDpi="4294967295" verticalDpi="4294967295"/>
  <headerFooter>
    <oddFooter>&amp;LDissonance&amp;CPage &amp;P of &amp;N&amp;R&amp;D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K38"/>
  <sheetViews>
    <sheetView tabSelected="1" workbookViewId="0">
      <pane xSplit="2" ySplit="1" topLeftCell="C32" activePane="bottomRight" state="frozen"/>
      <selection pane="bottomRight" activeCell="J37" sqref="J37"/>
      <selection pane="bottomLeft"/>
      <selection pane="topRight"/>
    </sheetView>
  </sheetViews>
  <sheetFormatPr defaultRowHeight="15"/>
  <cols>
    <col min="2" max="2" width="27" customWidth="1"/>
    <col min="3" max="3" width="15" customWidth="1"/>
    <col min="4" max="4" width="13" customWidth="1"/>
    <col min="5" max="6" width="32" customWidth="1"/>
    <col min="7" max="7" width="50" customWidth="1"/>
    <col min="8" max="8" width="40" customWidth="1"/>
    <col min="9" max="9" width="13" customWidth="1"/>
    <col min="10" max="10" width="12" customWidth="1"/>
    <col min="11" max="11" width="52" customWidth="1"/>
  </cols>
  <sheetData>
    <row r="1" spans="1:11" ht="30" customHeight="1">
      <c r="A1" s="15" t="s">
        <v>202</v>
      </c>
      <c r="B1" s="15" t="s">
        <v>203</v>
      </c>
      <c r="C1" s="15" t="s">
        <v>204</v>
      </c>
      <c r="D1" s="15" t="s">
        <v>205</v>
      </c>
      <c r="E1" s="15" t="s">
        <v>206</v>
      </c>
      <c r="F1" s="15" t="s">
        <v>207</v>
      </c>
      <c r="G1" s="15" t="s">
        <v>208</v>
      </c>
      <c r="H1" s="15" t="s">
        <v>209</v>
      </c>
      <c r="I1" s="45" t="s">
        <v>210</v>
      </c>
      <c r="J1" s="45" t="s">
        <v>211</v>
      </c>
      <c r="K1" s="45" t="s">
        <v>212</v>
      </c>
    </row>
    <row r="2" spans="1:11" ht="260.10000000000002" customHeight="1">
      <c r="A2" s="28" t="s">
        <v>213</v>
      </c>
      <c r="B2" s="13" t="s">
        <v>957</v>
      </c>
      <c r="C2" s="29" t="s">
        <v>223</v>
      </c>
      <c r="D2" s="30" t="s">
        <v>216</v>
      </c>
      <c r="E2" s="14" t="s">
        <v>958</v>
      </c>
      <c r="F2" s="14" t="s">
        <v>959</v>
      </c>
      <c r="G2" s="14" t="s">
        <v>960</v>
      </c>
      <c r="H2" s="14" t="s">
        <v>961</v>
      </c>
      <c r="I2" s="46" t="s">
        <v>6</v>
      </c>
      <c r="J2" s="31" t="s">
        <v>45</v>
      </c>
      <c r="K2" s="32" t="s">
        <v>45</v>
      </c>
    </row>
    <row r="3" spans="1:11" ht="197.1" customHeight="1">
      <c r="A3" s="33" t="s">
        <v>221</v>
      </c>
      <c r="B3" s="47" t="s">
        <v>962</v>
      </c>
      <c r="C3" s="34" t="s">
        <v>230</v>
      </c>
      <c r="D3" s="36" t="s">
        <v>333</v>
      </c>
      <c r="E3" s="35" t="s">
        <v>963</v>
      </c>
      <c r="F3" s="35" t="s">
        <v>964</v>
      </c>
      <c r="G3" s="35" t="s">
        <v>965</v>
      </c>
      <c r="H3" s="35" t="s">
        <v>966</v>
      </c>
      <c r="I3" s="46" t="s">
        <v>6</v>
      </c>
      <c r="J3" s="31" t="s">
        <v>45</v>
      </c>
      <c r="K3" s="32" t="s">
        <v>45</v>
      </c>
    </row>
    <row r="4" spans="1:11" ht="71.099999999999994" customHeight="1">
      <c r="A4" s="28" t="s">
        <v>228</v>
      </c>
      <c r="B4" s="13" t="s">
        <v>967</v>
      </c>
      <c r="C4" s="29" t="s">
        <v>223</v>
      </c>
      <c r="D4" s="30" t="s">
        <v>216</v>
      </c>
      <c r="E4" s="14" t="s">
        <v>968</v>
      </c>
      <c r="F4" s="14" t="s">
        <v>964</v>
      </c>
      <c r="G4" s="14" t="s">
        <v>969</v>
      </c>
      <c r="H4" s="14" t="s">
        <v>970</v>
      </c>
      <c r="I4" s="46" t="s">
        <v>6</v>
      </c>
      <c r="J4" s="31" t="s">
        <v>45</v>
      </c>
      <c r="K4" s="32" t="s">
        <v>45</v>
      </c>
    </row>
    <row r="5" spans="1:11" ht="260.10000000000002" customHeight="1">
      <c r="A5" s="33" t="s">
        <v>236</v>
      </c>
      <c r="B5" s="47" t="s">
        <v>971</v>
      </c>
      <c r="C5" s="34" t="s">
        <v>223</v>
      </c>
      <c r="D5" s="30" t="s">
        <v>216</v>
      </c>
      <c r="E5" s="35" t="s">
        <v>972</v>
      </c>
      <c r="F5" s="35" t="s">
        <v>973</v>
      </c>
      <c r="G5" s="35" t="s">
        <v>974</v>
      </c>
      <c r="H5" s="35" t="s">
        <v>975</v>
      </c>
      <c r="I5" s="46" t="s">
        <v>6</v>
      </c>
      <c r="J5" s="31" t="s">
        <v>45</v>
      </c>
      <c r="K5" s="32" t="s">
        <v>45</v>
      </c>
    </row>
    <row r="6" spans="1:11" ht="134.1" customHeight="1">
      <c r="A6" s="28" t="s">
        <v>241</v>
      </c>
      <c r="B6" s="13" t="s">
        <v>976</v>
      </c>
      <c r="C6" s="29" t="s">
        <v>223</v>
      </c>
      <c r="D6" s="30" t="s">
        <v>216</v>
      </c>
      <c r="E6" s="14" t="s">
        <v>977</v>
      </c>
      <c r="F6" s="14" t="s">
        <v>964</v>
      </c>
      <c r="G6" s="14" t="s">
        <v>978</v>
      </c>
      <c r="H6" s="14" t="s">
        <v>979</v>
      </c>
      <c r="I6" s="46" t="s">
        <v>6</v>
      </c>
      <c r="J6" s="31" t="s">
        <v>45</v>
      </c>
      <c r="K6" s="32" t="s">
        <v>45</v>
      </c>
    </row>
    <row r="7" spans="1:11" ht="45.75" customHeight="1">
      <c r="A7" s="33" t="s">
        <v>246</v>
      </c>
      <c r="B7" s="47" t="s">
        <v>980</v>
      </c>
      <c r="C7" s="34" t="s">
        <v>223</v>
      </c>
      <c r="D7" s="30" t="s">
        <v>216</v>
      </c>
      <c r="E7" s="35" t="s">
        <v>981</v>
      </c>
      <c r="F7" s="35" t="s">
        <v>982</v>
      </c>
      <c r="G7" s="35" t="s">
        <v>983</v>
      </c>
      <c r="H7" s="35" t="s">
        <v>984</v>
      </c>
      <c r="I7" s="46" t="s">
        <v>6</v>
      </c>
      <c r="J7" s="31" t="s">
        <v>45</v>
      </c>
      <c r="K7" s="32" t="s">
        <v>45</v>
      </c>
    </row>
    <row r="8" spans="1:11" ht="58.35" customHeight="1">
      <c r="A8" s="28" t="s">
        <v>251</v>
      </c>
      <c r="B8" s="13" t="s">
        <v>985</v>
      </c>
      <c r="C8" s="29" t="s">
        <v>332</v>
      </c>
      <c r="D8" s="30" t="s">
        <v>216</v>
      </c>
      <c r="E8" s="14" t="s">
        <v>986</v>
      </c>
      <c r="F8" s="14" t="s">
        <v>987</v>
      </c>
      <c r="G8" s="14" t="s">
        <v>988</v>
      </c>
      <c r="H8" s="14" t="s">
        <v>989</v>
      </c>
      <c r="I8" s="46" t="s">
        <v>6</v>
      </c>
      <c r="J8" s="31" t="s">
        <v>45</v>
      </c>
      <c r="K8" s="32" t="s">
        <v>45</v>
      </c>
    </row>
    <row r="9" spans="1:11" ht="108.75" customHeight="1">
      <c r="A9" s="33" t="s">
        <v>256</v>
      </c>
      <c r="B9" s="47" t="s">
        <v>990</v>
      </c>
      <c r="C9" s="34" t="s">
        <v>223</v>
      </c>
      <c r="D9" s="30" t="s">
        <v>216</v>
      </c>
      <c r="E9" s="35" t="s">
        <v>991</v>
      </c>
      <c r="F9" s="35" t="s">
        <v>992</v>
      </c>
      <c r="G9" s="35" t="s">
        <v>993</v>
      </c>
      <c r="H9" s="35" t="s">
        <v>994</v>
      </c>
      <c r="I9" s="46" t="s">
        <v>6</v>
      </c>
      <c r="J9" s="31" t="s">
        <v>45</v>
      </c>
      <c r="K9" s="32" t="s">
        <v>45</v>
      </c>
    </row>
    <row r="10" spans="1:11" ht="45.75" customHeight="1">
      <c r="A10" s="28" t="s">
        <v>263</v>
      </c>
      <c r="B10" s="13" t="s">
        <v>995</v>
      </c>
      <c r="C10" s="29" t="s">
        <v>223</v>
      </c>
      <c r="D10" s="30" t="s">
        <v>216</v>
      </c>
      <c r="E10" s="14" t="s">
        <v>996</v>
      </c>
      <c r="F10" s="14" t="s">
        <v>997</v>
      </c>
      <c r="G10" s="14" t="s">
        <v>998</v>
      </c>
      <c r="H10" s="14" t="s">
        <v>999</v>
      </c>
      <c r="I10" s="46" t="s">
        <v>6</v>
      </c>
      <c r="J10" s="31" t="s">
        <v>45</v>
      </c>
      <c r="K10" s="32" t="s">
        <v>45</v>
      </c>
    </row>
    <row r="11" spans="1:11" ht="71.099999999999994" customHeight="1">
      <c r="A11" s="33" t="s">
        <v>269</v>
      </c>
      <c r="B11" s="47" t="s">
        <v>1000</v>
      </c>
      <c r="C11" s="34" t="s">
        <v>230</v>
      </c>
      <c r="D11" s="30" t="s">
        <v>216</v>
      </c>
      <c r="E11" s="35" t="s">
        <v>1001</v>
      </c>
      <c r="F11" s="35" t="s">
        <v>1002</v>
      </c>
      <c r="G11" s="35" t="s">
        <v>1003</v>
      </c>
      <c r="H11" s="35" t="s">
        <v>1004</v>
      </c>
      <c r="I11" s="46" t="s">
        <v>6</v>
      </c>
      <c r="J11" s="31" t="s">
        <v>45</v>
      </c>
      <c r="K11" s="32" t="s">
        <v>45</v>
      </c>
    </row>
    <row r="12" spans="1:11" ht="83.65" customHeight="1">
      <c r="A12" s="28" t="s">
        <v>275</v>
      </c>
      <c r="B12" s="13" t="s">
        <v>1005</v>
      </c>
      <c r="C12" s="29" t="s">
        <v>223</v>
      </c>
      <c r="D12" s="30" t="s">
        <v>216</v>
      </c>
      <c r="E12" s="14" t="s">
        <v>1006</v>
      </c>
      <c r="F12" s="14" t="s">
        <v>1007</v>
      </c>
      <c r="G12" s="14" t="s">
        <v>1008</v>
      </c>
      <c r="H12" s="14" t="s">
        <v>1009</v>
      </c>
      <c r="I12" s="46" t="s">
        <v>6</v>
      </c>
      <c r="J12" s="31" t="s">
        <v>45</v>
      </c>
      <c r="K12" s="32" t="s">
        <v>45</v>
      </c>
    </row>
    <row r="13" spans="1:11" ht="171.75" customHeight="1">
      <c r="A13" s="33" t="s">
        <v>281</v>
      </c>
      <c r="B13" s="47" t="s">
        <v>1010</v>
      </c>
      <c r="C13" s="34" t="s">
        <v>223</v>
      </c>
      <c r="D13" s="30" t="s">
        <v>216</v>
      </c>
      <c r="E13" s="35" t="s">
        <v>1011</v>
      </c>
      <c r="F13" s="35" t="s">
        <v>1012</v>
      </c>
      <c r="G13" s="35" t="s">
        <v>1013</v>
      </c>
      <c r="H13" s="35" t="s">
        <v>1014</v>
      </c>
      <c r="I13" s="46" t="s">
        <v>6</v>
      </c>
      <c r="J13" s="31" t="s">
        <v>45</v>
      </c>
      <c r="K13" s="32" t="s">
        <v>45</v>
      </c>
    </row>
    <row r="14" spans="1:11" ht="58.35" customHeight="1">
      <c r="A14" s="28" t="s">
        <v>287</v>
      </c>
      <c r="B14" s="13" t="s">
        <v>1015</v>
      </c>
      <c r="C14" s="29" t="s">
        <v>223</v>
      </c>
      <c r="D14" s="30" t="s">
        <v>216</v>
      </c>
      <c r="E14" s="14" t="s">
        <v>1016</v>
      </c>
      <c r="F14" s="14" t="s">
        <v>1017</v>
      </c>
      <c r="G14" s="14" t="s">
        <v>1018</v>
      </c>
      <c r="H14" s="14" t="s">
        <v>1019</v>
      </c>
      <c r="I14" s="46" t="s">
        <v>10</v>
      </c>
      <c r="J14" s="31" t="s">
        <v>595</v>
      </c>
      <c r="K14" s="32" t="s">
        <v>1020</v>
      </c>
    </row>
    <row r="15" spans="1:11" ht="58.35" customHeight="1">
      <c r="A15" s="33" t="s">
        <v>293</v>
      </c>
      <c r="B15" s="47" t="s">
        <v>1021</v>
      </c>
      <c r="C15" s="34" t="s">
        <v>332</v>
      </c>
      <c r="D15" s="30" t="s">
        <v>216</v>
      </c>
      <c r="E15" s="35" t="s">
        <v>1022</v>
      </c>
      <c r="F15" s="35" t="s">
        <v>1017</v>
      </c>
      <c r="G15" s="35" t="s">
        <v>1023</v>
      </c>
      <c r="H15" s="35" t="s">
        <v>1024</v>
      </c>
      <c r="I15" s="46" t="s">
        <v>10</v>
      </c>
      <c r="J15" s="31" t="s">
        <v>595</v>
      </c>
      <c r="K15" s="32" t="s">
        <v>1025</v>
      </c>
    </row>
    <row r="16" spans="1:11" ht="96.2" customHeight="1">
      <c r="A16" s="28" t="s">
        <v>299</v>
      </c>
      <c r="B16" s="13" t="s">
        <v>1026</v>
      </c>
      <c r="C16" s="29" t="s">
        <v>223</v>
      </c>
      <c r="D16" s="30" t="s">
        <v>216</v>
      </c>
      <c r="E16" s="14" t="s">
        <v>1027</v>
      </c>
      <c r="F16" s="14" t="s">
        <v>1017</v>
      </c>
      <c r="G16" s="14" t="s">
        <v>1028</v>
      </c>
      <c r="H16" s="14" t="s">
        <v>1029</v>
      </c>
      <c r="I16" s="46" t="s">
        <v>6</v>
      </c>
      <c r="J16" s="31" t="s">
        <v>45</v>
      </c>
      <c r="K16" s="32" t="s">
        <v>45</v>
      </c>
    </row>
    <row r="17" spans="1:11" ht="58.35" customHeight="1">
      <c r="A17" s="33" t="s">
        <v>305</v>
      </c>
      <c r="B17" s="47" t="s">
        <v>1030</v>
      </c>
      <c r="C17" s="34" t="s">
        <v>223</v>
      </c>
      <c r="D17" s="30" t="s">
        <v>216</v>
      </c>
      <c r="E17" s="35" t="s">
        <v>1031</v>
      </c>
      <c r="F17" s="35" t="s">
        <v>987</v>
      </c>
      <c r="G17" s="35" t="s">
        <v>1032</v>
      </c>
      <c r="H17" s="35" t="s">
        <v>1033</v>
      </c>
      <c r="I17" s="46" t="s">
        <v>6</v>
      </c>
      <c r="J17" s="31" t="s">
        <v>45</v>
      </c>
      <c r="K17" s="32" t="s">
        <v>45</v>
      </c>
    </row>
    <row r="18" spans="1:11" ht="45.75" customHeight="1">
      <c r="A18" s="28" t="s">
        <v>311</v>
      </c>
      <c r="B18" s="13" t="s">
        <v>1034</v>
      </c>
      <c r="C18" s="29" t="s">
        <v>223</v>
      </c>
      <c r="D18" s="30" t="s">
        <v>216</v>
      </c>
      <c r="E18" s="14" t="s">
        <v>1035</v>
      </c>
      <c r="F18" s="14" t="s">
        <v>1036</v>
      </c>
      <c r="G18" s="14" t="s">
        <v>1037</v>
      </c>
      <c r="H18" s="14" t="s">
        <v>1038</v>
      </c>
      <c r="I18" s="46" t="s">
        <v>6</v>
      </c>
      <c r="J18" s="31" t="s">
        <v>45</v>
      </c>
      <c r="K18" s="32" t="s">
        <v>45</v>
      </c>
    </row>
    <row r="19" spans="1:11" ht="134.1" customHeight="1">
      <c r="A19" s="33" t="s">
        <v>317</v>
      </c>
      <c r="B19" s="47" t="s">
        <v>1039</v>
      </c>
      <c r="C19" s="34" t="s">
        <v>223</v>
      </c>
      <c r="D19" s="30" t="s">
        <v>216</v>
      </c>
      <c r="E19" s="35" t="s">
        <v>1040</v>
      </c>
      <c r="F19" s="39" t="s">
        <v>1041</v>
      </c>
      <c r="G19" s="35" t="s">
        <v>1042</v>
      </c>
      <c r="H19" s="35" t="s">
        <v>1043</v>
      </c>
      <c r="I19" s="46" t="s">
        <v>6</v>
      </c>
      <c r="J19" s="31" t="s">
        <v>45</v>
      </c>
      <c r="K19" s="32" t="s">
        <v>45</v>
      </c>
    </row>
    <row r="20" spans="1:11" ht="121.35" customHeight="1">
      <c r="A20" s="28" t="s">
        <v>324</v>
      </c>
      <c r="B20" s="13" t="s">
        <v>1044</v>
      </c>
      <c r="C20" s="29" t="s">
        <v>223</v>
      </c>
      <c r="D20" s="30" t="s">
        <v>216</v>
      </c>
      <c r="E20" s="14" t="s">
        <v>1045</v>
      </c>
      <c r="F20" s="38" t="s">
        <v>1046</v>
      </c>
      <c r="G20" s="14" t="s">
        <v>1047</v>
      </c>
      <c r="H20" s="14" t="s">
        <v>1048</v>
      </c>
      <c r="I20" s="46" t="s">
        <v>10</v>
      </c>
      <c r="J20" s="31" t="s">
        <v>595</v>
      </c>
      <c r="K20" s="32" t="s">
        <v>1049</v>
      </c>
    </row>
    <row r="21" spans="1:11" ht="121.35" customHeight="1">
      <c r="A21" s="33" t="s">
        <v>330</v>
      </c>
      <c r="B21" s="47" t="s">
        <v>1050</v>
      </c>
      <c r="C21" s="34" t="s">
        <v>223</v>
      </c>
      <c r="D21" s="36" t="s">
        <v>333</v>
      </c>
      <c r="E21" s="35" t="s">
        <v>1051</v>
      </c>
      <c r="F21" s="39" t="s">
        <v>1046</v>
      </c>
      <c r="G21" s="35" t="s">
        <v>1052</v>
      </c>
      <c r="H21" s="35" t="s">
        <v>1053</v>
      </c>
      <c r="I21" s="46" t="s">
        <v>6</v>
      </c>
      <c r="J21" s="31" t="s">
        <v>45</v>
      </c>
      <c r="K21" s="32" t="s">
        <v>45</v>
      </c>
    </row>
    <row r="22" spans="1:11" ht="45.75" customHeight="1">
      <c r="A22" s="28" t="s">
        <v>339</v>
      </c>
      <c r="B22" s="13" t="s">
        <v>1054</v>
      </c>
      <c r="C22" s="29" t="s">
        <v>223</v>
      </c>
      <c r="D22" s="30" t="s">
        <v>216</v>
      </c>
      <c r="E22" s="14" t="s">
        <v>1055</v>
      </c>
      <c r="F22" s="14" t="s">
        <v>1056</v>
      </c>
      <c r="G22" s="14" t="s">
        <v>1057</v>
      </c>
      <c r="H22" s="14" t="s">
        <v>1058</v>
      </c>
      <c r="I22" s="46" t="s">
        <v>6</v>
      </c>
      <c r="J22" s="31" t="s">
        <v>45</v>
      </c>
      <c r="K22" s="32" t="s">
        <v>45</v>
      </c>
    </row>
    <row r="23" spans="1:11" ht="58.35" customHeight="1">
      <c r="A23" s="33" t="s">
        <v>345</v>
      </c>
      <c r="B23" s="47" t="s">
        <v>1059</v>
      </c>
      <c r="C23" s="34" t="s">
        <v>223</v>
      </c>
      <c r="D23" s="30" t="s">
        <v>216</v>
      </c>
      <c r="E23" s="35" t="s">
        <v>1060</v>
      </c>
      <c r="F23" s="35" t="s">
        <v>1061</v>
      </c>
      <c r="G23" s="35" t="s">
        <v>1062</v>
      </c>
      <c r="H23" s="35" t="s">
        <v>1063</v>
      </c>
      <c r="I23" s="46" t="s">
        <v>6</v>
      </c>
      <c r="J23" s="31" t="s">
        <v>45</v>
      </c>
      <c r="K23" s="32" t="s">
        <v>45</v>
      </c>
    </row>
    <row r="24" spans="1:11" ht="45.75" customHeight="1">
      <c r="A24" s="28" t="s">
        <v>351</v>
      </c>
      <c r="B24" s="13" t="s">
        <v>1064</v>
      </c>
      <c r="C24" s="29" t="s">
        <v>230</v>
      </c>
      <c r="D24" s="30" t="s">
        <v>216</v>
      </c>
      <c r="E24" s="14" t="s">
        <v>1065</v>
      </c>
      <c r="F24" s="14" t="s">
        <v>1066</v>
      </c>
      <c r="G24" s="14" t="s">
        <v>1067</v>
      </c>
      <c r="H24" s="14" t="s">
        <v>1068</v>
      </c>
      <c r="I24" s="46" t="s">
        <v>6</v>
      </c>
      <c r="J24" s="31" t="s">
        <v>45</v>
      </c>
      <c r="K24" s="32" t="s">
        <v>45</v>
      </c>
    </row>
    <row r="25" spans="1:11" ht="121.35" customHeight="1">
      <c r="A25" s="33" t="s">
        <v>358</v>
      </c>
      <c r="B25" s="47" t="s">
        <v>1069</v>
      </c>
      <c r="C25" s="34" t="s">
        <v>223</v>
      </c>
      <c r="D25" s="30" t="s">
        <v>216</v>
      </c>
      <c r="E25" s="35" t="s">
        <v>1070</v>
      </c>
      <c r="F25" s="35" t="s">
        <v>1071</v>
      </c>
      <c r="G25" s="35" t="s">
        <v>1072</v>
      </c>
      <c r="H25" s="35" t="s">
        <v>1073</v>
      </c>
      <c r="I25" s="46" t="s">
        <v>6</v>
      </c>
      <c r="J25" s="31" t="s">
        <v>45</v>
      </c>
      <c r="K25" s="32" t="s">
        <v>45</v>
      </c>
    </row>
    <row r="26" spans="1:11" ht="58.35" customHeight="1">
      <c r="A26" s="28" t="s">
        <v>364</v>
      </c>
      <c r="B26" s="13" t="s">
        <v>1074</v>
      </c>
      <c r="C26" s="29" t="s">
        <v>223</v>
      </c>
      <c r="D26" s="30" t="s">
        <v>216</v>
      </c>
      <c r="E26" s="14" t="s">
        <v>1075</v>
      </c>
      <c r="F26" s="14" t="s">
        <v>1076</v>
      </c>
      <c r="G26" s="14" t="s">
        <v>1077</v>
      </c>
      <c r="H26" s="14" t="s">
        <v>1078</v>
      </c>
      <c r="I26" s="46" t="s">
        <v>10</v>
      </c>
      <c r="J26" s="31" t="s">
        <v>1079</v>
      </c>
      <c r="K26" s="32" t="s">
        <v>1080</v>
      </c>
    </row>
    <row r="27" spans="1:11" ht="58.35" customHeight="1">
      <c r="A27" s="33" t="s">
        <v>370</v>
      </c>
      <c r="B27" s="47" t="s">
        <v>1081</v>
      </c>
      <c r="C27" s="34" t="s">
        <v>223</v>
      </c>
      <c r="D27" s="30" t="s">
        <v>216</v>
      </c>
      <c r="E27" s="35" t="s">
        <v>1082</v>
      </c>
      <c r="F27" s="35" t="s">
        <v>1083</v>
      </c>
      <c r="G27" s="35" t="s">
        <v>1084</v>
      </c>
      <c r="H27" s="35" t="s">
        <v>1085</v>
      </c>
      <c r="I27" s="46" t="s">
        <v>6</v>
      </c>
      <c r="J27" s="31" t="s">
        <v>45</v>
      </c>
      <c r="K27" s="32" t="s">
        <v>45</v>
      </c>
    </row>
    <row r="28" spans="1:11" ht="45.75" customHeight="1">
      <c r="A28" s="28" t="s">
        <v>376</v>
      </c>
      <c r="B28" s="13" t="s">
        <v>1086</v>
      </c>
      <c r="C28" s="29" t="s">
        <v>223</v>
      </c>
      <c r="D28" s="30" t="s">
        <v>216</v>
      </c>
      <c r="E28" s="14" t="s">
        <v>1087</v>
      </c>
      <c r="F28" s="14" t="s">
        <v>1088</v>
      </c>
      <c r="G28" s="14" t="s">
        <v>1089</v>
      </c>
      <c r="H28" s="14" t="s">
        <v>1090</v>
      </c>
      <c r="I28" s="46" t="s">
        <v>6</v>
      </c>
      <c r="J28" s="31" t="s">
        <v>45</v>
      </c>
      <c r="K28" s="32" t="s">
        <v>45</v>
      </c>
    </row>
    <row r="29" spans="1:11" ht="83.65" customHeight="1">
      <c r="A29" s="33" t="s">
        <v>382</v>
      </c>
      <c r="B29" s="47" t="s">
        <v>1091</v>
      </c>
      <c r="C29" s="34" t="s">
        <v>223</v>
      </c>
      <c r="D29" s="30" t="s">
        <v>216</v>
      </c>
      <c r="E29" s="35" t="s">
        <v>1092</v>
      </c>
      <c r="F29" s="35" t="s">
        <v>1093</v>
      </c>
      <c r="G29" s="35" t="s">
        <v>1094</v>
      </c>
      <c r="H29" s="35" t="s">
        <v>1095</v>
      </c>
      <c r="I29" s="46" t="s">
        <v>10</v>
      </c>
      <c r="J29" s="31" t="s">
        <v>595</v>
      </c>
      <c r="K29" s="32" t="s">
        <v>1096</v>
      </c>
    </row>
    <row r="30" spans="1:11" ht="45.75" customHeight="1">
      <c r="A30" s="28" t="s">
        <v>388</v>
      </c>
      <c r="B30" s="13" t="s">
        <v>1097</v>
      </c>
      <c r="C30" s="29" t="s">
        <v>230</v>
      </c>
      <c r="D30" s="30" t="s">
        <v>216</v>
      </c>
      <c r="E30" s="14" t="s">
        <v>1098</v>
      </c>
      <c r="F30" s="14" t="s">
        <v>1099</v>
      </c>
      <c r="G30" s="14" t="s">
        <v>1100</v>
      </c>
      <c r="H30" s="14" t="s">
        <v>1101</v>
      </c>
      <c r="I30" s="46" t="s">
        <v>8</v>
      </c>
      <c r="J30" s="31" t="s">
        <v>45</v>
      </c>
      <c r="K30" s="32" t="s">
        <v>1102</v>
      </c>
    </row>
    <row r="31" spans="1:11" ht="71.099999999999994" customHeight="1">
      <c r="A31" s="33" t="s">
        <v>395</v>
      </c>
      <c r="B31" s="47" t="s">
        <v>1103</v>
      </c>
      <c r="C31" s="34" t="s">
        <v>223</v>
      </c>
      <c r="D31" s="30" t="s">
        <v>216</v>
      </c>
      <c r="E31" s="35" t="s">
        <v>1104</v>
      </c>
      <c r="F31" s="35" t="s">
        <v>1105</v>
      </c>
      <c r="G31" s="35" t="s">
        <v>1106</v>
      </c>
      <c r="H31" s="35" t="s">
        <v>1107</v>
      </c>
      <c r="I31" s="46" t="s">
        <v>6</v>
      </c>
      <c r="J31" s="31" t="s">
        <v>45</v>
      </c>
      <c r="K31" s="32" t="s">
        <v>45</v>
      </c>
    </row>
    <row r="32" spans="1:11" ht="96.2" customHeight="1">
      <c r="A32" s="28" t="s">
        <v>402</v>
      </c>
      <c r="B32" s="13" t="s">
        <v>1108</v>
      </c>
      <c r="C32" s="29" t="s">
        <v>223</v>
      </c>
      <c r="D32" s="30" t="s">
        <v>216</v>
      </c>
      <c r="E32" s="14" t="s">
        <v>1109</v>
      </c>
      <c r="F32" s="14" t="s">
        <v>1110</v>
      </c>
      <c r="G32" s="14" t="s">
        <v>1111</v>
      </c>
      <c r="H32" s="14" t="s">
        <v>1112</v>
      </c>
      <c r="I32" s="46" t="s">
        <v>6</v>
      </c>
      <c r="J32" s="31" t="s">
        <v>45</v>
      </c>
      <c r="K32" s="32" t="s">
        <v>45</v>
      </c>
    </row>
    <row r="33" spans="1:11" ht="45.75" customHeight="1">
      <c r="A33" s="33" t="s">
        <v>408</v>
      </c>
      <c r="B33" s="47" t="s">
        <v>1113</v>
      </c>
      <c r="C33" s="34" t="s">
        <v>230</v>
      </c>
      <c r="D33" s="30" t="s">
        <v>216</v>
      </c>
      <c r="E33" s="35" t="s">
        <v>1114</v>
      </c>
      <c r="F33" s="35" t="s">
        <v>987</v>
      </c>
      <c r="G33" s="35" t="s">
        <v>1115</v>
      </c>
      <c r="H33" s="35" t="s">
        <v>1116</v>
      </c>
      <c r="I33" s="46" t="s">
        <v>6</v>
      </c>
      <c r="J33" s="31" t="s">
        <v>45</v>
      </c>
      <c r="K33" s="32" t="s">
        <v>45</v>
      </c>
    </row>
    <row r="34" spans="1:11" ht="45.75" customHeight="1">
      <c r="A34" s="28" t="s">
        <v>415</v>
      </c>
      <c r="B34" s="13" t="s">
        <v>1117</v>
      </c>
      <c r="C34" s="29" t="s">
        <v>332</v>
      </c>
      <c r="D34" s="30" t="s">
        <v>216</v>
      </c>
      <c r="E34" s="14" t="s">
        <v>1118</v>
      </c>
      <c r="F34" s="14" t="s">
        <v>1119</v>
      </c>
      <c r="G34" s="14" t="s">
        <v>1120</v>
      </c>
      <c r="H34" s="14" t="s">
        <v>1121</v>
      </c>
      <c r="I34" s="46" t="s">
        <v>6</v>
      </c>
      <c r="J34" s="31" t="s">
        <v>45</v>
      </c>
      <c r="K34" s="32" t="s">
        <v>45</v>
      </c>
    </row>
    <row r="35" spans="1:11" ht="45.75" customHeight="1">
      <c r="A35" s="33" t="s">
        <v>421</v>
      </c>
      <c r="B35" s="47" t="s">
        <v>1122</v>
      </c>
      <c r="C35" s="34" t="s">
        <v>332</v>
      </c>
      <c r="D35" s="30" t="s">
        <v>216</v>
      </c>
      <c r="E35" s="35" t="s">
        <v>1123</v>
      </c>
      <c r="F35" s="35" t="s">
        <v>992</v>
      </c>
      <c r="G35" s="35" t="s">
        <v>1124</v>
      </c>
      <c r="H35" s="35" t="s">
        <v>1125</v>
      </c>
      <c r="I35" s="46" t="s">
        <v>6</v>
      </c>
      <c r="J35" s="31" t="s">
        <v>45</v>
      </c>
      <c r="K35" s="32" t="s">
        <v>45</v>
      </c>
    </row>
    <row r="36" spans="1:11" ht="45.75" customHeight="1">
      <c r="A36" s="28" t="s">
        <v>427</v>
      </c>
      <c r="B36" s="13" t="s">
        <v>1126</v>
      </c>
      <c r="C36" s="29" t="s">
        <v>332</v>
      </c>
      <c r="D36" s="30" t="s">
        <v>216</v>
      </c>
      <c r="E36" s="14" t="s">
        <v>1127</v>
      </c>
      <c r="F36" s="14" t="s">
        <v>1128</v>
      </c>
      <c r="G36" s="14" t="s">
        <v>1129</v>
      </c>
      <c r="H36" s="14" t="s">
        <v>1130</v>
      </c>
      <c r="I36" s="46" t="s">
        <v>8</v>
      </c>
      <c r="J36" s="31" t="s">
        <v>595</v>
      </c>
      <c r="K36" s="32" t="s">
        <v>1131</v>
      </c>
    </row>
    <row r="37" spans="1:11" ht="71.099999999999994" customHeight="1">
      <c r="A37" s="33" t="s">
        <v>433</v>
      </c>
      <c r="B37" s="47" t="s">
        <v>1132</v>
      </c>
      <c r="C37" s="34" t="s">
        <v>215</v>
      </c>
      <c r="D37" s="36" t="s">
        <v>333</v>
      </c>
      <c r="E37" s="35" t="s">
        <v>1133</v>
      </c>
      <c r="F37" s="35" t="s">
        <v>1134</v>
      </c>
      <c r="G37" s="35" t="s">
        <v>1135</v>
      </c>
      <c r="H37" s="35" t="s">
        <v>1136</v>
      </c>
      <c r="I37" s="46" t="s">
        <v>8</v>
      </c>
      <c r="J37" s="31" t="s">
        <v>508</v>
      </c>
      <c r="K37" s="32" t="s">
        <v>1137</v>
      </c>
    </row>
    <row r="38" spans="1:11" ht="58.35" customHeight="1">
      <c r="A38" s="28" t="s">
        <v>439</v>
      </c>
      <c r="B38" s="13" t="s">
        <v>1138</v>
      </c>
      <c r="C38" s="29" t="s">
        <v>215</v>
      </c>
      <c r="D38" s="36" t="s">
        <v>333</v>
      </c>
      <c r="E38" s="14" t="s">
        <v>1139</v>
      </c>
      <c r="F38" s="14" t="s">
        <v>1134</v>
      </c>
      <c r="G38" s="14" t="s">
        <v>1140</v>
      </c>
      <c r="H38" s="14" t="s">
        <v>1141</v>
      </c>
      <c r="I38" s="46" t="s">
        <v>10</v>
      </c>
      <c r="J38" s="31" t="s">
        <v>595</v>
      </c>
      <c r="K38" s="32" t="s">
        <v>1142</v>
      </c>
    </row>
  </sheetData>
  <autoFilter ref="A1:K38" xr:uid="{00000000-0009-0000-0000-000005000000}"/>
  <conditionalFormatting sqref="I2:I38">
    <cfRule type="cellIs" dxfId="15" priority="1" operator="equal">
      <formula>"OK"</formula>
    </cfRule>
    <cfRule type="cellIs" dxfId="14" priority="2" operator="equal">
      <formula>"Partial"</formula>
    </cfRule>
    <cfRule type="cellIs" dxfId="13" priority="3" operator="equal">
      <formula>"KO"</formula>
    </cfRule>
    <cfRule type="cellIs" dxfId="12" priority="4" operator="equal">
      <formula>"Blocked"</formula>
    </cfRule>
    <cfRule type="cellIs" dxfId="11" priority="5" operator="equal">
      <formula>"N/A"</formula>
    </cfRule>
    <cfRule type="cellIs" dxfId="10" priority="6" operator="equal">
      <formula>"Not tested"</formula>
    </cfRule>
  </conditionalFormatting>
  <conditionalFormatting sqref="J2:J38">
    <cfRule type="expression" dxfId="9" priority="7">
      <formula>AND(OR($I2="KO",$I2="Blocked",$I2="Partial"),$J2="")</formula>
    </cfRule>
  </conditionalFormatting>
  <conditionalFormatting sqref="K2:K38">
    <cfRule type="expression" dxfId="8" priority="8">
      <formula>AND(OR($I2="KO",$I2="Blocked",$I2="Partial",$I2="N/A"),$K2="")</formula>
    </cfRule>
  </conditionalFormatting>
  <dataValidations count="2">
    <dataValidation type="list" showErrorMessage="1" errorTitle="Pick a value" error="Choose one of: Not tested, OK, Partial, KO, Blocked, N/A" sqref="I2:I38" xr:uid="{00000000-0002-0000-0500-000000000000}">
      <formula1>"Not tested,OK,Partial,KO,Blocked,N/A"</formula1>
    </dataValidation>
    <dataValidation type="list" allowBlank="1" showErrorMessage="1" errorTitle="Pick a value" error="Fill Severity only when RESULT is KO, Partial or Blocked." sqref="J2:J38" xr:uid="{00000000-0002-0000-0500-000002000000}">
      <formula1>"Blocking,Major,Minor"</formula1>
    </dataValidation>
  </dataValidations>
  <pageMargins left="0.3" right="0.3" top="0.4" bottom="0.4" header="0.2" footer="0.2"/>
  <pageSetup paperSize="9" fitToHeight="0" orientation="landscape" horizontalDpi="4294967295" verticalDpi="4294967295"/>
  <headerFooter>
    <oddFooter>&amp;LHorus&amp;CPage &amp;P of &amp;N&amp;R&amp;D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K45"/>
  <sheetViews>
    <sheetView workbookViewId="0">
      <pane xSplit="2" ySplit="1" topLeftCell="F2" activePane="bottomRight" state="frozen"/>
      <selection pane="bottomRight" activeCell="I45" sqref="I45"/>
      <selection pane="bottomLeft"/>
      <selection pane="topRight"/>
    </sheetView>
  </sheetViews>
  <sheetFormatPr defaultRowHeight="15"/>
  <cols>
    <col min="2" max="2" width="27" customWidth="1"/>
    <col min="3" max="3" width="15" customWidth="1"/>
    <col min="4" max="4" width="13" customWidth="1"/>
    <col min="5" max="6" width="32" customWidth="1"/>
    <col min="7" max="7" width="50" customWidth="1"/>
    <col min="8" max="8" width="40" customWidth="1"/>
    <col min="9" max="9" width="13" customWidth="1"/>
    <col min="10" max="10" width="12" customWidth="1"/>
    <col min="11" max="11" width="52" customWidth="1"/>
  </cols>
  <sheetData>
    <row r="1" spans="1:11" ht="30" customHeight="1">
      <c r="A1" s="15" t="s">
        <v>202</v>
      </c>
      <c r="B1" s="15" t="s">
        <v>203</v>
      </c>
      <c r="C1" s="15" t="s">
        <v>204</v>
      </c>
      <c r="D1" s="15" t="s">
        <v>205</v>
      </c>
      <c r="E1" s="15" t="s">
        <v>206</v>
      </c>
      <c r="F1" s="15" t="s">
        <v>207</v>
      </c>
      <c r="G1" s="15" t="s">
        <v>208</v>
      </c>
      <c r="H1" s="15" t="s">
        <v>209</v>
      </c>
      <c r="I1" s="45" t="s">
        <v>210</v>
      </c>
      <c r="J1" s="45" t="s">
        <v>211</v>
      </c>
      <c r="K1" s="45" t="s">
        <v>212</v>
      </c>
    </row>
    <row r="2" spans="1:11" ht="96.2" customHeight="1">
      <c r="A2" s="28" t="s">
        <v>213</v>
      </c>
      <c r="B2" s="13" t="s">
        <v>1143</v>
      </c>
      <c r="C2" s="29" t="s">
        <v>223</v>
      </c>
      <c r="D2" s="30" t="s">
        <v>216</v>
      </c>
      <c r="E2" s="14" t="s">
        <v>1144</v>
      </c>
      <c r="F2" s="14" t="s">
        <v>1145</v>
      </c>
      <c r="G2" s="14" t="s">
        <v>1146</v>
      </c>
      <c r="H2" s="14" t="s">
        <v>1147</v>
      </c>
      <c r="I2" s="46" t="s">
        <v>6</v>
      </c>
      <c r="J2" s="31" t="s">
        <v>45</v>
      </c>
      <c r="K2" s="32"/>
    </row>
    <row r="3" spans="1:11" ht="71.099999999999994" customHeight="1">
      <c r="A3" s="33" t="s">
        <v>221</v>
      </c>
      <c r="B3" s="47" t="s">
        <v>980</v>
      </c>
      <c r="C3" s="34" t="s">
        <v>223</v>
      </c>
      <c r="D3" s="30" t="s">
        <v>216</v>
      </c>
      <c r="E3" s="35" t="s">
        <v>1148</v>
      </c>
      <c r="F3" s="35" t="s">
        <v>1149</v>
      </c>
      <c r="G3" s="35" t="s">
        <v>1150</v>
      </c>
      <c r="H3" s="35" t="s">
        <v>1151</v>
      </c>
      <c r="I3" s="46" t="s">
        <v>6</v>
      </c>
      <c r="J3" s="31" t="s">
        <v>45</v>
      </c>
      <c r="K3" s="32" t="s">
        <v>1152</v>
      </c>
    </row>
    <row r="4" spans="1:11" ht="71.099999999999994" customHeight="1">
      <c r="A4" s="28" t="s">
        <v>228</v>
      </c>
      <c r="B4" s="13" t="s">
        <v>985</v>
      </c>
      <c r="C4" s="29" t="s">
        <v>332</v>
      </c>
      <c r="D4" s="30" t="s">
        <v>216</v>
      </c>
      <c r="E4" s="14" t="s">
        <v>1153</v>
      </c>
      <c r="F4" s="14" t="s">
        <v>1154</v>
      </c>
      <c r="G4" s="14" t="s">
        <v>1155</v>
      </c>
      <c r="H4" s="14" t="s">
        <v>1156</v>
      </c>
      <c r="I4" s="46" t="s">
        <v>6</v>
      </c>
      <c r="J4" s="31" t="s">
        <v>45</v>
      </c>
      <c r="K4" s="32" t="s">
        <v>1157</v>
      </c>
    </row>
    <row r="5" spans="1:11" ht="58.35" customHeight="1">
      <c r="A5" s="33" t="s">
        <v>236</v>
      </c>
      <c r="B5" s="47" t="s">
        <v>1158</v>
      </c>
      <c r="C5" s="34" t="s">
        <v>332</v>
      </c>
      <c r="D5" s="30" t="s">
        <v>216</v>
      </c>
      <c r="E5" s="35" t="s">
        <v>1159</v>
      </c>
      <c r="F5" s="35" t="s">
        <v>1160</v>
      </c>
      <c r="G5" s="35" t="s">
        <v>1161</v>
      </c>
      <c r="H5" s="35" t="s">
        <v>1162</v>
      </c>
      <c r="I5" s="46" t="s">
        <v>6</v>
      </c>
      <c r="J5" s="31" t="s">
        <v>45</v>
      </c>
      <c r="K5" s="32" t="s">
        <v>1163</v>
      </c>
    </row>
    <row r="6" spans="1:11" ht="71.099999999999994" customHeight="1">
      <c r="A6" s="28" t="s">
        <v>241</v>
      </c>
      <c r="B6" s="13" t="s">
        <v>1164</v>
      </c>
      <c r="C6" s="29" t="s">
        <v>332</v>
      </c>
      <c r="D6" s="30" t="s">
        <v>216</v>
      </c>
      <c r="E6" s="14" t="s">
        <v>1165</v>
      </c>
      <c r="F6" s="14" t="s">
        <v>1166</v>
      </c>
      <c r="G6" s="14" t="s">
        <v>1167</v>
      </c>
      <c r="H6" s="14" t="s">
        <v>1168</v>
      </c>
      <c r="I6" s="46" t="s">
        <v>6</v>
      </c>
      <c r="J6" s="31" t="s">
        <v>45</v>
      </c>
      <c r="K6" s="32" t="s">
        <v>1169</v>
      </c>
    </row>
    <row r="7" spans="1:11" ht="58.35" customHeight="1">
      <c r="A7" s="33" t="s">
        <v>246</v>
      </c>
      <c r="B7" s="47" t="s">
        <v>1170</v>
      </c>
      <c r="C7" s="34" t="s">
        <v>332</v>
      </c>
      <c r="D7" s="30" t="s">
        <v>216</v>
      </c>
      <c r="E7" s="35" t="s">
        <v>1171</v>
      </c>
      <c r="F7" s="35" t="s">
        <v>1172</v>
      </c>
      <c r="G7" s="35" t="s">
        <v>1173</v>
      </c>
      <c r="H7" s="35" t="s">
        <v>1174</v>
      </c>
      <c r="I7" s="46" t="s">
        <v>6</v>
      </c>
      <c r="J7" s="31" t="s">
        <v>45</v>
      </c>
      <c r="K7" s="32" t="s">
        <v>1169</v>
      </c>
    </row>
    <row r="8" spans="1:11" ht="83.65" customHeight="1">
      <c r="A8" s="28" t="s">
        <v>251</v>
      </c>
      <c r="B8" s="13" t="s">
        <v>1175</v>
      </c>
      <c r="C8" s="29" t="s">
        <v>223</v>
      </c>
      <c r="D8" s="30" t="s">
        <v>216</v>
      </c>
      <c r="E8" s="14" t="s">
        <v>1176</v>
      </c>
      <c r="F8" s="14" t="s">
        <v>1177</v>
      </c>
      <c r="G8" s="14" t="s">
        <v>1178</v>
      </c>
      <c r="H8" s="14" t="s">
        <v>1179</v>
      </c>
      <c r="I8" s="46" t="s">
        <v>6</v>
      </c>
      <c r="J8" s="31" t="s">
        <v>45</v>
      </c>
      <c r="K8" s="32" t="s">
        <v>1180</v>
      </c>
    </row>
    <row r="9" spans="1:11" ht="58.35" customHeight="1">
      <c r="A9" s="33" t="s">
        <v>256</v>
      </c>
      <c r="B9" s="47" t="s">
        <v>1181</v>
      </c>
      <c r="C9" s="34" t="s">
        <v>223</v>
      </c>
      <c r="D9" s="30" t="s">
        <v>216</v>
      </c>
      <c r="E9" s="35" t="s">
        <v>1182</v>
      </c>
      <c r="F9" s="35" t="s">
        <v>1183</v>
      </c>
      <c r="G9" s="35" t="s">
        <v>1184</v>
      </c>
      <c r="H9" s="35" t="s">
        <v>1185</v>
      </c>
      <c r="I9" s="46" t="s">
        <v>6</v>
      </c>
      <c r="J9" s="31" t="s">
        <v>45</v>
      </c>
      <c r="K9" s="32" t="s">
        <v>45</v>
      </c>
    </row>
    <row r="10" spans="1:11" ht="71.099999999999994" customHeight="1">
      <c r="A10" s="28" t="s">
        <v>263</v>
      </c>
      <c r="B10" s="13" t="s">
        <v>1186</v>
      </c>
      <c r="C10" s="29" t="s">
        <v>223</v>
      </c>
      <c r="D10" s="30" t="s">
        <v>216</v>
      </c>
      <c r="E10" s="14" t="s">
        <v>1187</v>
      </c>
      <c r="F10" s="14" t="s">
        <v>1188</v>
      </c>
      <c r="G10" s="14" t="s">
        <v>1189</v>
      </c>
      <c r="H10" s="14" t="s">
        <v>1190</v>
      </c>
      <c r="I10" s="46" t="s">
        <v>6</v>
      </c>
      <c r="J10" s="31" t="s">
        <v>45</v>
      </c>
      <c r="K10" s="32" t="s">
        <v>45</v>
      </c>
    </row>
    <row r="11" spans="1:11" ht="83.65" customHeight="1">
      <c r="A11" s="33" t="s">
        <v>269</v>
      </c>
      <c r="B11" s="47" t="s">
        <v>1191</v>
      </c>
      <c r="C11" s="34" t="s">
        <v>223</v>
      </c>
      <c r="D11" s="30" t="s">
        <v>216</v>
      </c>
      <c r="E11" s="35" t="s">
        <v>1192</v>
      </c>
      <c r="F11" s="35" t="s">
        <v>1193</v>
      </c>
      <c r="G11" s="35" t="s">
        <v>1194</v>
      </c>
      <c r="H11" s="35" t="s">
        <v>1195</v>
      </c>
      <c r="I11" s="46" t="s">
        <v>6</v>
      </c>
      <c r="J11" s="31" t="s">
        <v>45</v>
      </c>
      <c r="K11" s="32" t="s">
        <v>45</v>
      </c>
    </row>
    <row r="12" spans="1:11" ht="71.099999999999994" customHeight="1">
      <c r="A12" s="28" t="s">
        <v>275</v>
      </c>
      <c r="B12" s="13" t="s">
        <v>1196</v>
      </c>
      <c r="C12" s="29" t="s">
        <v>223</v>
      </c>
      <c r="D12" s="30" t="s">
        <v>216</v>
      </c>
      <c r="E12" s="14" t="s">
        <v>1197</v>
      </c>
      <c r="F12" s="14" t="s">
        <v>1198</v>
      </c>
      <c r="G12" s="14" t="s">
        <v>1199</v>
      </c>
      <c r="H12" s="14" t="s">
        <v>1200</v>
      </c>
      <c r="I12" s="46" t="s">
        <v>6</v>
      </c>
      <c r="J12" s="31" t="s">
        <v>45</v>
      </c>
      <c r="K12" s="32" t="s">
        <v>45</v>
      </c>
    </row>
    <row r="13" spans="1:11" ht="83.65" customHeight="1">
      <c r="A13" s="33" t="s">
        <v>281</v>
      </c>
      <c r="B13" s="47" t="s">
        <v>1201</v>
      </c>
      <c r="C13" s="34" t="s">
        <v>223</v>
      </c>
      <c r="D13" s="30" t="s">
        <v>216</v>
      </c>
      <c r="E13" s="35" t="s">
        <v>1202</v>
      </c>
      <c r="F13" s="35" t="s">
        <v>1198</v>
      </c>
      <c r="G13" s="35" t="s">
        <v>1203</v>
      </c>
      <c r="H13" s="35" t="s">
        <v>1204</v>
      </c>
      <c r="I13" s="46" t="s">
        <v>6</v>
      </c>
      <c r="J13" s="31" t="s">
        <v>45</v>
      </c>
      <c r="K13" s="32" t="s">
        <v>45</v>
      </c>
    </row>
    <row r="14" spans="1:11" ht="71.099999999999994" customHeight="1">
      <c r="A14" s="28" t="s">
        <v>287</v>
      </c>
      <c r="B14" s="13" t="s">
        <v>1205</v>
      </c>
      <c r="C14" s="29" t="s">
        <v>223</v>
      </c>
      <c r="D14" s="30" t="s">
        <v>216</v>
      </c>
      <c r="E14" s="14" t="s">
        <v>1206</v>
      </c>
      <c r="F14" s="14" t="s">
        <v>1207</v>
      </c>
      <c r="G14" s="14" t="s">
        <v>1208</v>
      </c>
      <c r="H14" s="14" t="s">
        <v>1209</v>
      </c>
      <c r="I14" s="46" t="s">
        <v>6</v>
      </c>
      <c r="J14" s="31" t="s">
        <v>45</v>
      </c>
      <c r="K14" s="32" t="s">
        <v>45</v>
      </c>
    </row>
    <row r="15" spans="1:11" ht="58.35" customHeight="1">
      <c r="A15" s="33" t="s">
        <v>293</v>
      </c>
      <c r="B15" s="47" t="s">
        <v>1210</v>
      </c>
      <c r="C15" s="34" t="s">
        <v>332</v>
      </c>
      <c r="D15" s="30" t="s">
        <v>216</v>
      </c>
      <c r="E15" s="35" t="s">
        <v>1211</v>
      </c>
      <c r="F15" s="35" t="s">
        <v>1212</v>
      </c>
      <c r="G15" s="35" t="s">
        <v>1213</v>
      </c>
      <c r="H15" s="35" t="s">
        <v>1214</v>
      </c>
      <c r="I15" s="46" t="s">
        <v>6</v>
      </c>
      <c r="J15" s="31" t="s">
        <v>45</v>
      </c>
      <c r="K15" s="32" t="s">
        <v>45</v>
      </c>
    </row>
    <row r="16" spans="1:11" ht="134.1" customHeight="1">
      <c r="A16" s="28" t="s">
        <v>299</v>
      </c>
      <c r="B16" s="13" t="s">
        <v>1215</v>
      </c>
      <c r="C16" s="29" t="s">
        <v>223</v>
      </c>
      <c r="D16" s="30" t="s">
        <v>216</v>
      </c>
      <c r="E16" s="14" t="s">
        <v>1216</v>
      </c>
      <c r="F16" s="14" t="s">
        <v>1217</v>
      </c>
      <c r="G16" s="14" t="s">
        <v>1218</v>
      </c>
      <c r="H16" s="14" t="s">
        <v>1219</v>
      </c>
      <c r="I16" s="46" t="s">
        <v>6</v>
      </c>
      <c r="J16" s="31" t="s">
        <v>45</v>
      </c>
      <c r="K16" s="32" t="s">
        <v>45</v>
      </c>
    </row>
    <row r="17" spans="1:11" ht="108.75" customHeight="1">
      <c r="A17" s="33" t="s">
        <v>305</v>
      </c>
      <c r="B17" s="47" t="s">
        <v>1220</v>
      </c>
      <c r="C17" s="34" t="s">
        <v>223</v>
      </c>
      <c r="D17" s="30" t="s">
        <v>216</v>
      </c>
      <c r="E17" s="35" t="s">
        <v>1221</v>
      </c>
      <c r="F17" s="35" t="s">
        <v>1222</v>
      </c>
      <c r="G17" s="35" t="s">
        <v>1223</v>
      </c>
      <c r="H17" s="35" t="s">
        <v>1224</v>
      </c>
      <c r="I17" s="46" t="s">
        <v>6</v>
      </c>
      <c r="J17" s="31" t="s">
        <v>45</v>
      </c>
      <c r="K17" s="32" t="s">
        <v>45</v>
      </c>
    </row>
    <row r="18" spans="1:11" ht="83.65" customHeight="1">
      <c r="A18" s="28" t="s">
        <v>311</v>
      </c>
      <c r="B18" s="13" t="s">
        <v>1225</v>
      </c>
      <c r="C18" s="29" t="s">
        <v>332</v>
      </c>
      <c r="D18" s="30" t="s">
        <v>216</v>
      </c>
      <c r="E18" s="14" t="s">
        <v>1226</v>
      </c>
      <c r="F18" s="14" t="s">
        <v>1227</v>
      </c>
      <c r="G18" s="14" t="s">
        <v>1228</v>
      </c>
      <c r="H18" s="14" t="s">
        <v>1229</v>
      </c>
      <c r="I18" s="46" t="s">
        <v>6</v>
      </c>
      <c r="J18" s="31" t="s">
        <v>45</v>
      </c>
      <c r="K18" s="32" t="s">
        <v>45</v>
      </c>
    </row>
    <row r="19" spans="1:11" ht="83.65" customHeight="1">
      <c r="A19" s="33" t="s">
        <v>317</v>
      </c>
      <c r="B19" s="47" t="s">
        <v>1230</v>
      </c>
      <c r="C19" s="34" t="s">
        <v>332</v>
      </c>
      <c r="D19" s="30" t="s">
        <v>216</v>
      </c>
      <c r="E19" s="35" t="s">
        <v>1231</v>
      </c>
      <c r="F19" s="35" t="s">
        <v>1232</v>
      </c>
      <c r="G19" s="35" t="s">
        <v>1233</v>
      </c>
      <c r="H19" s="35" t="s">
        <v>1234</v>
      </c>
      <c r="I19" s="46" t="s">
        <v>14</v>
      </c>
      <c r="J19" s="31" t="s">
        <v>45</v>
      </c>
      <c r="K19" s="32" t="s">
        <v>1235</v>
      </c>
    </row>
    <row r="20" spans="1:11" ht="71.099999999999994" customHeight="1">
      <c r="A20" s="28" t="s">
        <v>324</v>
      </c>
      <c r="B20" s="13" t="s">
        <v>1236</v>
      </c>
      <c r="C20" s="29" t="s">
        <v>223</v>
      </c>
      <c r="D20" s="30" t="s">
        <v>216</v>
      </c>
      <c r="E20" s="14" t="s">
        <v>1237</v>
      </c>
      <c r="F20" s="14" t="s">
        <v>1238</v>
      </c>
      <c r="G20" s="14" t="s">
        <v>1239</v>
      </c>
      <c r="H20" s="14" t="s">
        <v>1240</v>
      </c>
      <c r="I20" s="46" t="s">
        <v>6</v>
      </c>
      <c r="J20" s="31" t="s">
        <v>45</v>
      </c>
      <c r="K20" s="32" t="s">
        <v>45</v>
      </c>
    </row>
    <row r="21" spans="1:11" ht="45.75" customHeight="1">
      <c r="A21" s="33" t="s">
        <v>330</v>
      </c>
      <c r="B21" s="47" t="s">
        <v>1241</v>
      </c>
      <c r="C21" s="34" t="s">
        <v>230</v>
      </c>
      <c r="D21" s="30" t="s">
        <v>216</v>
      </c>
      <c r="E21" s="35" t="s">
        <v>1242</v>
      </c>
      <c r="F21" s="35" t="s">
        <v>1243</v>
      </c>
      <c r="G21" s="35" t="s">
        <v>1244</v>
      </c>
      <c r="H21" s="35" t="s">
        <v>1245</v>
      </c>
      <c r="I21" s="46" t="s">
        <v>6</v>
      </c>
      <c r="J21" s="31" t="s">
        <v>45</v>
      </c>
      <c r="K21" s="32" t="s">
        <v>45</v>
      </c>
    </row>
    <row r="22" spans="1:11" ht="71.099999999999994" customHeight="1">
      <c r="A22" s="28" t="s">
        <v>339</v>
      </c>
      <c r="B22" s="13" t="s">
        <v>1246</v>
      </c>
      <c r="C22" s="29" t="s">
        <v>223</v>
      </c>
      <c r="D22" s="30" t="s">
        <v>216</v>
      </c>
      <c r="E22" s="14" t="s">
        <v>1247</v>
      </c>
      <c r="F22" s="14" t="s">
        <v>1248</v>
      </c>
      <c r="G22" s="14" t="s">
        <v>1249</v>
      </c>
      <c r="H22" s="14" t="s">
        <v>1250</v>
      </c>
      <c r="I22" s="46" t="s">
        <v>8</v>
      </c>
      <c r="J22" s="31" t="s">
        <v>595</v>
      </c>
      <c r="K22" s="32" t="s">
        <v>1251</v>
      </c>
    </row>
    <row r="23" spans="1:11" ht="83.65" customHeight="1">
      <c r="A23" s="33" t="s">
        <v>345</v>
      </c>
      <c r="B23" s="47" t="s">
        <v>1252</v>
      </c>
      <c r="C23" s="34" t="s">
        <v>223</v>
      </c>
      <c r="D23" s="30" t="s">
        <v>216</v>
      </c>
      <c r="E23" s="35" t="s">
        <v>1253</v>
      </c>
      <c r="F23" s="35" t="s">
        <v>1254</v>
      </c>
      <c r="G23" s="35" t="s">
        <v>1255</v>
      </c>
      <c r="H23" s="35" t="s">
        <v>1256</v>
      </c>
      <c r="I23" s="46" t="s">
        <v>8</v>
      </c>
      <c r="J23" s="31" t="s">
        <v>595</v>
      </c>
      <c r="K23" s="32" t="s">
        <v>1257</v>
      </c>
    </row>
    <row r="24" spans="1:11" ht="83.65" customHeight="1">
      <c r="A24" s="28" t="s">
        <v>351</v>
      </c>
      <c r="B24" s="13" t="s">
        <v>1258</v>
      </c>
      <c r="C24" s="29" t="s">
        <v>332</v>
      </c>
      <c r="D24" s="30" t="s">
        <v>216</v>
      </c>
      <c r="E24" s="14" t="s">
        <v>1259</v>
      </c>
      <c r="F24" s="14" t="s">
        <v>1260</v>
      </c>
      <c r="G24" s="14" t="s">
        <v>1261</v>
      </c>
      <c r="H24" s="14" t="s">
        <v>1262</v>
      </c>
      <c r="I24" s="46" t="s">
        <v>8</v>
      </c>
      <c r="J24" s="31" t="s">
        <v>595</v>
      </c>
      <c r="K24" s="32" t="s">
        <v>1257</v>
      </c>
    </row>
    <row r="25" spans="1:11" ht="45.75" customHeight="1">
      <c r="A25" s="33" t="s">
        <v>358</v>
      </c>
      <c r="B25" s="47" t="s">
        <v>1263</v>
      </c>
      <c r="C25" s="34" t="s">
        <v>332</v>
      </c>
      <c r="D25" s="30" t="s">
        <v>216</v>
      </c>
      <c r="E25" s="35" t="s">
        <v>1264</v>
      </c>
      <c r="F25" s="35" t="s">
        <v>1265</v>
      </c>
      <c r="G25" s="35" t="s">
        <v>1266</v>
      </c>
      <c r="H25" s="35" t="s">
        <v>1267</v>
      </c>
      <c r="I25" s="46" t="s">
        <v>6</v>
      </c>
      <c r="J25" s="31" t="s">
        <v>45</v>
      </c>
      <c r="K25" s="32" t="s">
        <v>45</v>
      </c>
    </row>
    <row r="26" spans="1:11" ht="71.099999999999994" customHeight="1">
      <c r="A26" s="28" t="s">
        <v>364</v>
      </c>
      <c r="B26" s="13" t="s">
        <v>1268</v>
      </c>
      <c r="C26" s="29" t="s">
        <v>223</v>
      </c>
      <c r="D26" s="30" t="s">
        <v>216</v>
      </c>
      <c r="E26" s="14" t="s">
        <v>1269</v>
      </c>
      <c r="F26" s="14" t="s">
        <v>1270</v>
      </c>
      <c r="G26" s="14" t="s">
        <v>1271</v>
      </c>
      <c r="H26" s="14" t="s">
        <v>1272</v>
      </c>
      <c r="I26" s="46" t="s">
        <v>6</v>
      </c>
      <c r="J26" s="31" t="s">
        <v>45</v>
      </c>
      <c r="K26" s="32" t="s">
        <v>45</v>
      </c>
    </row>
    <row r="27" spans="1:11" ht="71.099999999999994" customHeight="1">
      <c r="A27" s="33" t="s">
        <v>370</v>
      </c>
      <c r="B27" s="47" t="s">
        <v>1273</v>
      </c>
      <c r="C27" s="34" t="s">
        <v>223</v>
      </c>
      <c r="D27" s="30" t="s">
        <v>216</v>
      </c>
      <c r="E27" s="35" t="s">
        <v>1274</v>
      </c>
      <c r="F27" s="35" t="s">
        <v>1275</v>
      </c>
      <c r="G27" s="35" t="s">
        <v>1276</v>
      </c>
      <c r="H27" s="35" t="s">
        <v>1277</v>
      </c>
      <c r="I27" s="46" t="s">
        <v>14</v>
      </c>
      <c r="J27" s="31" t="s">
        <v>45</v>
      </c>
      <c r="K27" s="32" t="s">
        <v>1278</v>
      </c>
    </row>
    <row r="28" spans="1:11" ht="96.2" customHeight="1">
      <c r="A28" s="28" t="s">
        <v>376</v>
      </c>
      <c r="B28" s="13" t="s">
        <v>1279</v>
      </c>
      <c r="C28" s="29" t="s">
        <v>223</v>
      </c>
      <c r="D28" s="30" t="s">
        <v>216</v>
      </c>
      <c r="E28" s="14" t="s">
        <v>1280</v>
      </c>
      <c r="F28" s="14" t="s">
        <v>1281</v>
      </c>
      <c r="G28" s="14" t="s">
        <v>1282</v>
      </c>
      <c r="H28" s="14" t="s">
        <v>1283</v>
      </c>
      <c r="I28" s="46" t="s">
        <v>14</v>
      </c>
      <c r="J28" s="31" t="s">
        <v>45</v>
      </c>
      <c r="K28" s="32" t="s">
        <v>1278</v>
      </c>
    </row>
    <row r="29" spans="1:11" ht="83.65" customHeight="1">
      <c r="A29" s="33" t="s">
        <v>382</v>
      </c>
      <c r="B29" s="47" t="s">
        <v>1284</v>
      </c>
      <c r="C29" s="34" t="s">
        <v>230</v>
      </c>
      <c r="D29" s="30" t="s">
        <v>216</v>
      </c>
      <c r="E29" s="35" t="s">
        <v>1285</v>
      </c>
      <c r="F29" s="35" t="s">
        <v>1286</v>
      </c>
      <c r="G29" s="35" t="s">
        <v>1287</v>
      </c>
      <c r="H29" s="35" t="s">
        <v>1288</v>
      </c>
      <c r="I29" s="46" t="s">
        <v>10</v>
      </c>
      <c r="J29" s="31" t="s">
        <v>1079</v>
      </c>
      <c r="K29" s="32" t="s">
        <v>1289</v>
      </c>
    </row>
    <row r="30" spans="1:11" ht="71.099999999999994" customHeight="1">
      <c r="A30" s="28" t="s">
        <v>388</v>
      </c>
      <c r="B30" s="13" t="s">
        <v>1290</v>
      </c>
      <c r="C30" s="29" t="s">
        <v>223</v>
      </c>
      <c r="D30" s="36" t="s">
        <v>333</v>
      </c>
      <c r="E30" s="14" t="s">
        <v>1291</v>
      </c>
      <c r="F30" s="14" t="s">
        <v>1292</v>
      </c>
      <c r="G30" s="14" t="s">
        <v>1293</v>
      </c>
      <c r="H30" s="14" t="s">
        <v>1294</v>
      </c>
      <c r="I30" s="46" t="s">
        <v>14</v>
      </c>
      <c r="J30" s="31" t="s">
        <v>45</v>
      </c>
      <c r="K30" s="32" t="s">
        <v>1295</v>
      </c>
    </row>
    <row r="31" spans="1:11" ht="71.099999999999994" customHeight="1">
      <c r="A31" s="33" t="s">
        <v>395</v>
      </c>
      <c r="B31" s="47" t="s">
        <v>1296</v>
      </c>
      <c r="C31" s="34" t="s">
        <v>332</v>
      </c>
      <c r="D31" s="36" t="s">
        <v>333</v>
      </c>
      <c r="E31" s="35" t="s">
        <v>1297</v>
      </c>
      <c r="F31" s="35" t="s">
        <v>1298</v>
      </c>
      <c r="G31" s="35" t="s">
        <v>1299</v>
      </c>
      <c r="H31" s="35" t="s">
        <v>1300</v>
      </c>
      <c r="I31" s="46" t="s">
        <v>14</v>
      </c>
      <c r="J31" s="31" t="s">
        <v>45</v>
      </c>
      <c r="K31" s="32" t="s">
        <v>1301</v>
      </c>
    </row>
    <row r="32" spans="1:11" ht="71.099999999999994" customHeight="1">
      <c r="A32" s="28" t="s">
        <v>402</v>
      </c>
      <c r="B32" s="13" t="s">
        <v>1302</v>
      </c>
      <c r="C32" s="29" t="s">
        <v>332</v>
      </c>
      <c r="D32" s="36" t="s">
        <v>333</v>
      </c>
      <c r="E32" s="14" t="s">
        <v>1303</v>
      </c>
      <c r="F32" s="14" t="s">
        <v>1304</v>
      </c>
      <c r="G32" s="14" t="s">
        <v>1305</v>
      </c>
      <c r="H32" s="14" t="s">
        <v>1306</v>
      </c>
      <c r="I32" s="46" t="s">
        <v>14</v>
      </c>
      <c r="J32" s="31" t="s">
        <v>45</v>
      </c>
      <c r="K32" s="32" t="s">
        <v>1301</v>
      </c>
    </row>
    <row r="33" spans="1:11" ht="45.75" customHeight="1">
      <c r="A33" s="33" t="s">
        <v>408</v>
      </c>
      <c r="B33" s="47" t="s">
        <v>1307</v>
      </c>
      <c r="C33" s="34" t="s">
        <v>332</v>
      </c>
      <c r="D33" s="36" t="s">
        <v>333</v>
      </c>
      <c r="E33" s="35" t="s">
        <v>1308</v>
      </c>
      <c r="F33" s="35" t="s">
        <v>1309</v>
      </c>
      <c r="G33" s="35" t="s">
        <v>1310</v>
      </c>
      <c r="H33" s="35" t="s">
        <v>1311</v>
      </c>
      <c r="I33" s="46" t="s">
        <v>14</v>
      </c>
      <c r="J33" s="31" t="s">
        <v>45</v>
      </c>
      <c r="K33" s="32" t="s">
        <v>1301</v>
      </c>
    </row>
    <row r="34" spans="1:11" ht="45.75" customHeight="1">
      <c r="A34" s="28" t="s">
        <v>415</v>
      </c>
      <c r="B34" s="13" t="s">
        <v>1312</v>
      </c>
      <c r="C34" s="29" t="s">
        <v>223</v>
      </c>
      <c r="D34" s="36" t="s">
        <v>333</v>
      </c>
      <c r="E34" s="14" t="s">
        <v>1313</v>
      </c>
      <c r="F34" s="14" t="s">
        <v>1314</v>
      </c>
      <c r="G34" s="14" t="s">
        <v>1315</v>
      </c>
      <c r="H34" s="14" t="s">
        <v>1316</v>
      </c>
      <c r="I34" s="46" t="s">
        <v>14</v>
      </c>
      <c r="J34" s="31" t="s">
        <v>45</v>
      </c>
      <c r="K34" s="32" t="s">
        <v>1317</v>
      </c>
    </row>
    <row r="35" spans="1:11" ht="58.35" customHeight="1">
      <c r="A35" s="33" t="s">
        <v>421</v>
      </c>
      <c r="B35" s="47" t="s">
        <v>1318</v>
      </c>
      <c r="C35" s="34" t="s">
        <v>332</v>
      </c>
      <c r="D35" s="36" t="s">
        <v>333</v>
      </c>
      <c r="E35" s="35" t="s">
        <v>1319</v>
      </c>
      <c r="F35" s="35" t="s">
        <v>1320</v>
      </c>
      <c r="G35" s="35" t="s">
        <v>1321</v>
      </c>
      <c r="H35" s="35" t="s">
        <v>1322</v>
      </c>
      <c r="I35" s="46" t="s">
        <v>6</v>
      </c>
      <c r="J35" s="31" t="s">
        <v>45</v>
      </c>
      <c r="K35" s="32" t="s">
        <v>1323</v>
      </c>
    </row>
    <row r="36" spans="1:11" ht="45.75" customHeight="1">
      <c r="A36" s="28" t="s">
        <v>427</v>
      </c>
      <c r="B36" s="13" t="s">
        <v>1324</v>
      </c>
      <c r="C36" s="29" t="s">
        <v>230</v>
      </c>
      <c r="D36" s="36" t="s">
        <v>333</v>
      </c>
      <c r="E36" s="14" t="s">
        <v>1325</v>
      </c>
      <c r="F36" s="14" t="s">
        <v>1326</v>
      </c>
      <c r="G36" s="14" t="s">
        <v>1327</v>
      </c>
      <c r="H36" s="14" t="s">
        <v>1328</v>
      </c>
      <c r="I36" s="46" t="s">
        <v>14</v>
      </c>
      <c r="J36" s="31" t="s">
        <v>45</v>
      </c>
      <c r="K36" s="32" t="s">
        <v>1301</v>
      </c>
    </row>
    <row r="37" spans="1:11" ht="83.65" customHeight="1">
      <c r="A37" s="33" t="s">
        <v>433</v>
      </c>
      <c r="B37" s="47" t="s">
        <v>1329</v>
      </c>
      <c r="C37" s="34" t="s">
        <v>332</v>
      </c>
      <c r="D37" s="36" t="s">
        <v>333</v>
      </c>
      <c r="E37" s="35" t="s">
        <v>1330</v>
      </c>
      <c r="F37" s="35" t="s">
        <v>1331</v>
      </c>
      <c r="G37" s="35" t="s">
        <v>1332</v>
      </c>
      <c r="H37" s="35" t="s">
        <v>1333</v>
      </c>
      <c r="I37" s="46" t="s">
        <v>14</v>
      </c>
      <c r="J37" s="31" t="s">
        <v>45</v>
      </c>
      <c r="K37" s="32" t="s">
        <v>1317</v>
      </c>
    </row>
    <row r="38" spans="1:11" ht="45.75" customHeight="1">
      <c r="A38" s="28" t="s">
        <v>439</v>
      </c>
      <c r="B38" s="13" t="s">
        <v>1334</v>
      </c>
      <c r="C38" s="29" t="s">
        <v>332</v>
      </c>
      <c r="D38" s="36" t="s">
        <v>333</v>
      </c>
      <c r="E38" s="14" t="s">
        <v>1335</v>
      </c>
      <c r="F38" s="14" t="s">
        <v>1336</v>
      </c>
      <c r="G38" s="14" t="s">
        <v>1337</v>
      </c>
      <c r="H38" s="14" t="s">
        <v>1338</v>
      </c>
      <c r="I38" s="46" t="s">
        <v>14</v>
      </c>
      <c r="J38" s="31" t="s">
        <v>45</v>
      </c>
      <c r="K38" s="32" t="s">
        <v>1317</v>
      </c>
    </row>
    <row r="39" spans="1:11" ht="45.75" customHeight="1">
      <c r="A39" s="33" t="s">
        <v>445</v>
      </c>
      <c r="B39" s="47" t="s">
        <v>1339</v>
      </c>
      <c r="C39" s="34" t="s">
        <v>230</v>
      </c>
      <c r="D39" s="30" t="s">
        <v>216</v>
      </c>
      <c r="E39" s="35" t="s">
        <v>1340</v>
      </c>
      <c r="F39" s="35" t="s">
        <v>1341</v>
      </c>
      <c r="G39" s="35" t="s">
        <v>1342</v>
      </c>
      <c r="H39" s="35" t="s">
        <v>1343</v>
      </c>
      <c r="I39" s="46" t="s">
        <v>6</v>
      </c>
      <c r="J39" s="31" t="s">
        <v>45</v>
      </c>
      <c r="K39" s="32" t="s">
        <v>45</v>
      </c>
    </row>
    <row r="40" spans="1:11" ht="45.75" customHeight="1">
      <c r="A40" s="28" t="s">
        <v>451</v>
      </c>
      <c r="B40" s="13" t="s">
        <v>1344</v>
      </c>
      <c r="C40" s="29" t="s">
        <v>230</v>
      </c>
      <c r="D40" s="30" t="s">
        <v>216</v>
      </c>
      <c r="E40" s="14" t="s">
        <v>1345</v>
      </c>
      <c r="F40" s="14" t="s">
        <v>1346</v>
      </c>
      <c r="G40" s="14" t="s">
        <v>1347</v>
      </c>
      <c r="H40" s="14" t="s">
        <v>1348</v>
      </c>
      <c r="I40" s="46" t="s">
        <v>6</v>
      </c>
      <c r="J40" s="31" t="s">
        <v>45</v>
      </c>
      <c r="K40" s="32" t="s">
        <v>45</v>
      </c>
    </row>
    <row r="41" spans="1:11" ht="58.35" customHeight="1">
      <c r="A41" s="33" t="s">
        <v>457</v>
      </c>
      <c r="B41" s="47" t="s">
        <v>1349</v>
      </c>
      <c r="C41" s="34" t="s">
        <v>230</v>
      </c>
      <c r="D41" s="30" t="s">
        <v>216</v>
      </c>
      <c r="E41" s="35" t="s">
        <v>1350</v>
      </c>
      <c r="F41" s="35" t="s">
        <v>1351</v>
      </c>
      <c r="G41" s="35" t="s">
        <v>1352</v>
      </c>
      <c r="H41" s="35" t="s">
        <v>1353</v>
      </c>
      <c r="I41" s="46" t="s">
        <v>6</v>
      </c>
      <c r="J41" s="31" t="s">
        <v>45</v>
      </c>
      <c r="K41" s="32" t="s">
        <v>45</v>
      </c>
    </row>
    <row r="42" spans="1:11" ht="45.75" customHeight="1">
      <c r="A42" s="28" t="s">
        <v>463</v>
      </c>
      <c r="B42" s="13" t="s">
        <v>1354</v>
      </c>
      <c r="C42" s="29" t="s">
        <v>215</v>
      </c>
      <c r="D42" s="30" t="s">
        <v>216</v>
      </c>
      <c r="E42" s="14" t="s">
        <v>1355</v>
      </c>
      <c r="F42" s="14" t="s">
        <v>1356</v>
      </c>
      <c r="G42" s="14" t="s">
        <v>1357</v>
      </c>
      <c r="H42" s="14" t="s">
        <v>1358</v>
      </c>
      <c r="I42" s="46" t="s">
        <v>14</v>
      </c>
      <c r="J42" s="31" t="s">
        <v>45</v>
      </c>
      <c r="K42" s="32" t="s">
        <v>1359</v>
      </c>
    </row>
    <row r="43" spans="1:11" ht="71.099999999999994" customHeight="1">
      <c r="A43" s="33" t="s">
        <v>469</v>
      </c>
      <c r="B43" s="47" t="s">
        <v>1360</v>
      </c>
      <c r="C43" s="34" t="s">
        <v>332</v>
      </c>
      <c r="D43" s="36" t="s">
        <v>333</v>
      </c>
      <c r="E43" s="35" t="s">
        <v>1361</v>
      </c>
      <c r="F43" s="35" t="s">
        <v>1362</v>
      </c>
      <c r="G43" s="35" t="s">
        <v>1363</v>
      </c>
      <c r="H43" s="35" t="s">
        <v>1364</v>
      </c>
      <c r="I43" s="46" t="s">
        <v>14</v>
      </c>
      <c r="J43" s="31" t="s">
        <v>45</v>
      </c>
      <c r="K43" s="32" t="s">
        <v>1365</v>
      </c>
    </row>
    <row r="44" spans="1:11" ht="71.099999999999994" customHeight="1">
      <c r="A44" s="28" t="s">
        <v>475</v>
      </c>
      <c r="B44" s="13" t="s">
        <v>1366</v>
      </c>
      <c r="C44" s="29" t="s">
        <v>230</v>
      </c>
      <c r="D44" s="36" t="s">
        <v>333</v>
      </c>
      <c r="E44" s="14" t="s">
        <v>1367</v>
      </c>
      <c r="F44" s="14" t="s">
        <v>1368</v>
      </c>
      <c r="G44" s="14" t="s">
        <v>1369</v>
      </c>
      <c r="H44" s="14" t="s">
        <v>1370</v>
      </c>
      <c r="I44" s="46" t="s">
        <v>14</v>
      </c>
      <c r="J44" s="31" t="s">
        <v>45</v>
      </c>
      <c r="K44" s="32" t="s">
        <v>1365</v>
      </c>
    </row>
    <row r="45" spans="1:11" ht="71.099999999999994" customHeight="1">
      <c r="A45" s="33" t="s">
        <v>481</v>
      </c>
      <c r="B45" s="47" t="s">
        <v>1371</v>
      </c>
      <c r="C45" s="34" t="s">
        <v>332</v>
      </c>
      <c r="D45" s="36" t="s">
        <v>333</v>
      </c>
      <c r="E45" s="35" t="s">
        <v>1372</v>
      </c>
      <c r="F45" s="35" t="s">
        <v>1373</v>
      </c>
      <c r="G45" s="35" t="s">
        <v>1374</v>
      </c>
      <c r="H45" s="35" t="s">
        <v>1375</v>
      </c>
      <c r="I45" s="46" t="s">
        <v>6</v>
      </c>
      <c r="J45" s="31" t="s">
        <v>45</v>
      </c>
      <c r="K45" s="32" t="s">
        <v>45</v>
      </c>
    </row>
  </sheetData>
  <autoFilter ref="A1:K45" xr:uid="{00000000-0009-0000-0000-000006000000}"/>
  <conditionalFormatting sqref="I2:I45">
    <cfRule type="cellIs" dxfId="7" priority="1" operator="equal">
      <formula>"OK"</formula>
    </cfRule>
    <cfRule type="cellIs" dxfId="6" priority="2" operator="equal">
      <formula>"Partial"</formula>
    </cfRule>
    <cfRule type="cellIs" dxfId="5" priority="3" operator="equal">
      <formula>"KO"</formula>
    </cfRule>
    <cfRule type="cellIs" dxfId="4" priority="4" operator="equal">
      <formula>"Blocked"</formula>
    </cfRule>
    <cfRule type="cellIs" dxfId="3" priority="5" operator="equal">
      <formula>"N/A"</formula>
    </cfRule>
    <cfRule type="cellIs" dxfId="2" priority="6" operator="equal">
      <formula>"Not tested"</formula>
    </cfRule>
  </conditionalFormatting>
  <conditionalFormatting sqref="J2:J45">
    <cfRule type="expression" dxfId="1" priority="7">
      <formula>AND(OR($I2="KO",$I2="Blocked",$I2="Partial"),$J2="")</formula>
    </cfRule>
  </conditionalFormatting>
  <conditionalFormatting sqref="K2:K45">
    <cfRule type="expression" dxfId="0" priority="8">
      <formula>AND(OR($I2="KO",$I2="Blocked",$I2="Partial",$I2="N/A"),$K2="")</formula>
    </cfRule>
  </conditionalFormatting>
  <dataValidations count="2">
    <dataValidation type="list" showErrorMessage="1" errorTitle="Pick a value" error="Choose one of: Not tested, OK, Partial, KO, Blocked, N/A" sqref="I2:I45" xr:uid="{00000000-0002-0000-0600-000000000000}">
      <formula1>"Not tested,OK,Partial,KO,Blocked,N/A"</formula1>
    </dataValidation>
    <dataValidation type="list" allowBlank="1" showErrorMessage="1" errorTitle="Pick a value" error="Fill Severity only when RESULT is KO, Partial or Blocked." sqref="J2:J45" xr:uid="{00000000-0002-0000-0600-000002000000}">
      <formula1>"Blocking,Major,Minor"</formula1>
    </dataValidation>
  </dataValidations>
  <pageMargins left="0.3" right="0.3" top="0.4" bottom="0.4" header="0.2" footer="0.2"/>
  <pageSetup paperSize="9" fitToHeight="0" orientation="landscape" horizontalDpi="4294967295" verticalDpi="4294967295"/>
  <headerFooter>
    <oddFooter>&amp;LFAS&amp;CPage &amp;P of &amp;N&amp;R&amp;D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8b345d38-e56c-4883-8b10-949d990b89ec" xsi:nil="true"/>
    <lcf76f155ced4ddcb4097134ff3c332f xmlns="0a2fa1b9-7b4b-4870-809c-32f6bf85731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B11EB163E27AE4CB7114FA4C806ADDF" ma:contentTypeVersion="11" ma:contentTypeDescription="Crée un document." ma:contentTypeScope="" ma:versionID="e27083e08acd6226fa2cea41a1860615">
  <xsd:schema xmlns:xsd="http://www.w3.org/2001/XMLSchema" xmlns:xs="http://www.w3.org/2001/XMLSchema" xmlns:p="http://schemas.microsoft.com/office/2006/metadata/properties" xmlns:ns2="0a2fa1b9-7b4b-4870-809c-32f6bf857318" xmlns:ns3="8b345d38-e56c-4883-8b10-949d990b89ec" targetNamespace="http://schemas.microsoft.com/office/2006/metadata/properties" ma:root="true" ma:fieldsID="fd229a3de2379b4c14f79f78f59717fc" ns2:_="" ns3:_="">
    <xsd:import namespace="0a2fa1b9-7b4b-4870-809c-32f6bf857318"/>
    <xsd:import namespace="8b345d38-e56c-4883-8b10-949d990b89e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2fa1b9-7b4b-4870-809c-32f6bf8573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ea5cba62-7a90-4cbb-8c0d-a8cd742f6be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b345d38-e56c-4883-8b10-949d990b89e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73cc1bb-7277-4247-9ece-0ff2b8c6941d}" ma:internalName="TaxCatchAll" ma:showField="CatchAllData" ma:web="8b345d38-e56c-4883-8b10-949d990b89e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436AB62-CC6B-4D17-B524-9704B150F92F}"/>
</file>

<file path=customXml/itemProps2.xml><?xml version="1.0" encoding="utf-8"?>
<ds:datastoreItem xmlns:ds="http://schemas.openxmlformats.org/officeDocument/2006/customXml" ds:itemID="{F7452163-1336-488B-BF3E-BAD603E35904}"/>
</file>

<file path=customXml/itemProps3.xml><?xml version="1.0" encoding="utf-8"?>
<ds:datastoreItem xmlns:ds="http://schemas.openxmlformats.org/officeDocument/2006/customXml" ds:itemID="{7C80A206-9BF7-4117-8215-1ECB28DBCC1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EIP Acceptance Test Campaign</dc:title>
  <dc:subject/>
  <dc:creator>ATP Test Campaign</dc:creator>
  <cp:keywords/>
  <dc:description/>
  <cp:lastModifiedBy/>
  <cp:revision/>
  <dcterms:created xsi:type="dcterms:W3CDTF">2026-09-08T12:52:47Z</dcterms:created>
  <dcterms:modified xsi:type="dcterms:W3CDTF">2026-09-10T13:03:59Z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0x010100CB11EB163E27AE4CB7114FA4C806ADDF</vt:lpwstr>
  </property>
  <property fmtid="{D5CDD505-2E9C-101B-9397-08002B2CF9AE}" pid="3" name="MediaServiceImageTags">
    <vt:lpwstr/>
  </property>
</Properties>
</file>